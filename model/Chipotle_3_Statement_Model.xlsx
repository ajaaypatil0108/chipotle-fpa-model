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13_ncr:1_{2FB73E77-CBBF-4C0A-ACA3-CAD712DC8161}" xr6:coauthVersionLast="47" xr6:coauthVersionMax="47" xr10:uidLastSave="{00000000-0000-0000-0000-000000000000}"/>
  <bookViews>
    <workbookView xWindow="-98" yWindow="-98" windowWidth="19396" windowHeight="11475" activeTab="5" xr2:uid="{3E0D8CFB-CEDF-41B6-AB0B-481CC942EFF8}"/>
  </bookViews>
  <sheets>
    <sheet name="Goal" sheetId="3" r:id="rId1"/>
    <sheet name="Historicals " sheetId="1" r:id="rId2"/>
    <sheet name="Assumptions" sheetId="4" r:id="rId3"/>
    <sheet name="Model" sheetId="5" r:id="rId4"/>
    <sheet name="Dashboard" sheetId="7" r:id="rId5"/>
    <sheet name="Vari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/>
  <c r="G25" i="5"/>
  <c r="F25" i="5"/>
  <c r="C20" i="6"/>
  <c r="C19" i="6"/>
  <c r="C17" i="6"/>
  <c r="C16" i="6"/>
  <c r="D16" i="6" s="1"/>
  <c r="E16" i="6" s="1"/>
  <c r="C14" i="6"/>
  <c r="C13" i="6"/>
  <c r="C7" i="6"/>
  <c r="D7" i="6" s="1"/>
  <c r="C6" i="6"/>
  <c r="D6" i="6" s="1"/>
  <c r="C5" i="6"/>
  <c r="D5" i="6" s="1"/>
  <c r="E5" i="6" s="1"/>
  <c r="B8" i="6"/>
  <c r="E60" i="5"/>
  <c r="F65" i="5"/>
  <c r="G65" i="5" s="1"/>
  <c r="F62" i="5"/>
  <c r="G62" i="5" s="1"/>
  <c r="F61" i="5"/>
  <c r="G61" i="5" s="1"/>
  <c r="G38" i="5" s="1"/>
  <c r="E86" i="5"/>
  <c r="E85" i="5"/>
  <c r="F85" i="5" s="1"/>
  <c r="G85" i="5" s="1"/>
  <c r="E84" i="5"/>
  <c r="E83" i="5"/>
  <c r="F83" i="5" s="1"/>
  <c r="G83" i="5" s="1"/>
  <c r="E80" i="5"/>
  <c r="F80" i="5" s="1"/>
  <c r="G80" i="5" s="1"/>
  <c r="E79" i="5"/>
  <c r="F79" i="5" s="1"/>
  <c r="G79" i="5" s="1"/>
  <c r="E78" i="5"/>
  <c r="F78" i="5" s="1"/>
  <c r="G78" i="5" s="1"/>
  <c r="E76" i="5"/>
  <c r="F76" i="5" s="1"/>
  <c r="G76" i="5" s="1"/>
  <c r="E75" i="5"/>
  <c r="E74" i="5"/>
  <c r="E73" i="5"/>
  <c r="E72" i="5"/>
  <c r="E77" i="5" s="1"/>
  <c r="E81" i="5" s="1"/>
  <c r="E69" i="5"/>
  <c r="F69" i="5" s="1"/>
  <c r="G69" i="5" s="1"/>
  <c r="E68" i="5"/>
  <c r="F68" i="5" s="1"/>
  <c r="G68" i="5" s="1"/>
  <c r="E67" i="5"/>
  <c r="F67" i="5" s="1"/>
  <c r="G67" i="5" s="1"/>
  <c r="E66" i="5"/>
  <c r="F66" i="5" s="1"/>
  <c r="G66" i="5" s="1"/>
  <c r="E65" i="5"/>
  <c r="E64" i="5"/>
  <c r="E62" i="5"/>
  <c r="E61" i="5"/>
  <c r="E59" i="5"/>
  <c r="E58" i="5"/>
  <c r="E57" i="5"/>
  <c r="E29" i="7" s="1"/>
  <c r="D86" i="5"/>
  <c r="D85" i="5"/>
  <c r="D84" i="5"/>
  <c r="D83" i="5"/>
  <c r="D87" i="5" s="1"/>
  <c r="D80" i="5"/>
  <c r="D79" i="5"/>
  <c r="D78" i="5"/>
  <c r="D76" i="5"/>
  <c r="D75" i="5"/>
  <c r="D74" i="5"/>
  <c r="D73" i="5"/>
  <c r="D72" i="5"/>
  <c r="D69" i="5"/>
  <c r="D68" i="5"/>
  <c r="D67" i="5"/>
  <c r="D66" i="5"/>
  <c r="D65" i="5"/>
  <c r="D64" i="5"/>
  <c r="D62" i="5"/>
  <c r="D61" i="5"/>
  <c r="D60" i="5"/>
  <c r="D59" i="5"/>
  <c r="D58" i="5"/>
  <c r="D57" i="5"/>
  <c r="E28" i="7" s="1"/>
  <c r="F49" i="5"/>
  <c r="F50" i="5" s="1"/>
  <c r="G49" i="5"/>
  <c r="G50" i="5" s="1"/>
  <c r="F53" i="5"/>
  <c r="E49" i="5"/>
  <c r="E50" i="5" s="1"/>
  <c r="E46" i="5"/>
  <c r="E47" i="5" s="1"/>
  <c r="E44" i="5"/>
  <c r="E14" i="7" s="1"/>
  <c r="E33" i="5"/>
  <c r="G33" i="5" s="1"/>
  <c r="E32" i="5"/>
  <c r="D49" i="5"/>
  <c r="D50" i="5" s="1"/>
  <c r="D46" i="5"/>
  <c r="D47" i="5" s="1"/>
  <c r="D44" i="5"/>
  <c r="E13" i="7" s="1"/>
  <c r="D33" i="5"/>
  <c r="D32" i="5"/>
  <c r="C49" i="5"/>
  <c r="C50" i="5" s="1"/>
  <c r="C46" i="5"/>
  <c r="C47" i="5" s="1"/>
  <c r="C44" i="5"/>
  <c r="E22" i="7" s="1"/>
  <c r="C33" i="5"/>
  <c r="C32" i="5"/>
  <c r="E17" i="5"/>
  <c r="E18" i="5"/>
  <c r="E19" i="5"/>
  <c r="E20" i="5"/>
  <c r="E21" i="5"/>
  <c r="E22" i="5"/>
  <c r="E25" i="5"/>
  <c r="E27" i="5"/>
  <c r="E16" i="5"/>
  <c r="E15" i="5"/>
  <c r="D17" i="5"/>
  <c r="D18" i="5"/>
  <c r="D19" i="5"/>
  <c r="D20" i="5"/>
  <c r="D21" i="5"/>
  <c r="D22" i="5"/>
  <c r="D25" i="5"/>
  <c r="D27" i="5"/>
  <c r="D16" i="5"/>
  <c r="D15" i="5"/>
  <c r="C17" i="5"/>
  <c r="C18" i="5"/>
  <c r="C19" i="5"/>
  <c r="C20" i="5"/>
  <c r="C21" i="5"/>
  <c r="C22" i="5"/>
  <c r="C25" i="5"/>
  <c r="C27" i="5"/>
  <c r="C16" i="5"/>
  <c r="C15" i="5"/>
  <c r="E12" i="5"/>
  <c r="E8" i="5"/>
  <c r="C9" i="5"/>
  <c r="E37" i="7" s="1"/>
  <c r="G12" i="5"/>
  <c r="G7" i="5"/>
  <c r="G46" i="5" s="1"/>
  <c r="G47" i="5" s="1"/>
  <c r="E7" i="5"/>
  <c r="D12" i="5"/>
  <c r="D8" i="5"/>
  <c r="D7" i="5"/>
  <c r="C12" i="5"/>
  <c r="F12" i="5"/>
  <c r="E6" i="5"/>
  <c r="D6" i="5"/>
  <c r="E13" i="4"/>
  <c r="E14" i="4"/>
  <c r="E15" i="4"/>
  <c r="E16" i="4"/>
  <c r="E17" i="4"/>
  <c r="E18" i="4"/>
  <c r="E19" i="4"/>
  <c r="G22" i="5" s="1"/>
  <c r="E20" i="4"/>
  <c r="E21" i="4"/>
  <c r="E22" i="4"/>
  <c r="E23" i="4"/>
  <c r="E24" i="4"/>
  <c r="E12" i="4"/>
  <c r="I9" i="4"/>
  <c r="I8" i="4"/>
  <c r="G8" i="5" s="1"/>
  <c r="I7" i="4"/>
  <c r="E9" i="4"/>
  <c r="E7" i="4"/>
  <c r="F7" i="5" s="1"/>
  <c r="F46" i="5" s="1"/>
  <c r="E8" i="4"/>
  <c r="F8" i="5" s="1"/>
  <c r="C5" i="1"/>
  <c r="D13" i="5" s="1"/>
  <c r="E53" i="7" s="1"/>
  <c r="D5" i="1"/>
  <c r="C12" i="6" s="1"/>
  <c r="B5" i="1"/>
  <c r="C13" i="5" s="1"/>
  <c r="E52" i="7" s="1"/>
  <c r="D63" i="5" l="1"/>
  <c r="D70" i="5" s="1"/>
  <c r="D90" i="5" s="1"/>
  <c r="E63" i="5"/>
  <c r="E70" i="5" s="1"/>
  <c r="E34" i="7" s="1"/>
  <c r="D77" i="5"/>
  <c r="D81" i="5" s="1"/>
  <c r="D88" i="5" s="1"/>
  <c r="E87" i="5"/>
  <c r="E88" i="5"/>
  <c r="E90" i="5" s="1"/>
  <c r="C18" i="6"/>
  <c r="D18" i="6" s="1"/>
  <c r="E24" i="7"/>
  <c r="E23" i="7"/>
  <c r="C23" i="5"/>
  <c r="C24" i="5" s="1"/>
  <c r="C21" i="6"/>
  <c r="F47" i="5"/>
  <c r="E20" i="7"/>
  <c r="E12" i="7"/>
  <c r="C15" i="6"/>
  <c r="E9" i="5"/>
  <c r="E10" i="5" s="1"/>
  <c r="F22" i="5"/>
  <c r="E13" i="5"/>
  <c r="E54" i="7" s="1"/>
  <c r="E21" i="7"/>
  <c r="E19" i="7"/>
  <c r="F38" i="5"/>
  <c r="E18" i="7"/>
  <c r="E17" i="7"/>
  <c r="G21" i="5"/>
  <c r="D9" i="5"/>
  <c r="E38" i="7" s="1"/>
  <c r="F21" i="5"/>
  <c r="E23" i="5"/>
  <c r="F33" i="5"/>
  <c r="F84" i="5" s="1"/>
  <c r="D23" i="5"/>
  <c r="D24" i="5" s="1"/>
  <c r="E33" i="7" l="1"/>
  <c r="E24" i="5"/>
  <c r="E26" i="5" s="1"/>
  <c r="E28" i="5" s="1"/>
  <c r="G84" i="5"/>
  <c r="C26" i="5"/>
  <c r="C28" i="5" s="1"/>
  <c r="E7" i="7"/>
  <c r="E42" i="7"/>
  <c r="E11" i="5"/>
  <c r="C8" i="6"/>
  <c r="D26" i="5"/>
  <c r="D28" i="5" s="1"/>
  <c r="E8" i="7"/>
  <c r="E43" i="7"/>
  <c r="F6" i="5"/>
  <c r="F9" i="5" s="1"/>
  <c r="E39" i="7"/>
  <c r="D10" i="5"/>
  <c r="D11" i="5" s="1"/>
  <c r="E26" i="6" l="1"/>
  <c r="B9" i="6"/>
  <c r="B12" i="6" s="1"/>
  <c r="E44" i="7"/>
  <c r="E9" i="7"/>
  <c r="D31" i="5"/>
  <c r="E48" i="7"/>
  <c r="E3" i="7"/>
  <c r="E31" i="5"/>
  <c r="E4" i="7"/>
  <c r="E49" i="7"/>
  <c r="C31" i="5"/>
  <c r="E47" i="7"/>
  <c r="E2" i="7"/>
  <c r="D8" i="6"/>
  <c r="E8" i="6" s="1"/>
  <c r="F11" i="5"/>
  <c r="G11" i="5" s="1"/>
  <c r="C9" i="6"/>
  <c r="E40" i="7"/>
  <c r="G6" i="5"/>
  <c r="G9" i="5" s="1"/>
  <c r="E41" i="7" s="1"/>
  <c r="F10" i="5"/>
  <c r="B24" i="6" l="1"/>
  <c r="D12" i="6"/>
  <c r="E12" i="6" s="1"/>
  <c r="B25" i="6"/>
  <c r="G10" i="5"/>
  <c r="G13" i="5" s="1"/>
  <c r="D9" i="6"/>
  <c r="E9" i="6" s="1"/>
  <c r="B26" i="6"/>
  <c r="F13" i="5"/>
  <c r="B14" i="6" l="1"/>
  <c r="D13" i="6"/>
  <c r="E13" i="6" s="1"/>
  <c r="B30" i="6"/>
  <c r="E27" i="6"/>
  <c r="E56" i="7"/>
  <c r="G72" i="5"/>
  <c r="G59" i="5"/>
  <c r="G75" i="5"/>
  <c r="G74" i="5"/>
  <c r="G73" i="5"/>
  <c r="G60" i="5"/>
  <c r="G58" i="5"/>
  <c r="G20" i="5"/>
  <c r="G32" i="5" s="1"/>
  <c r="G19" i="5"/>
  <c r="G17" i="5"/>
  <c r="G15" i="5"/>
  <c r="G18" i="5"/>
  <c r="G16" i="5"/>
  <c r="B27" i="6"/>
  <c r="E55" i="7"/>
  <c r="F75" i="5"/>
  <c r="F42" i="5" s="1"/>
  <c r="F72" i="5"/>
  <c r="F60" i="5"/>
  <c r="F37" i="5" s="1"/>
  <c r="F58" i="5"/>
  <c r="F35" i="5" s="1"/>
  <c r="F74" i="5"/>
  <c r="F41" i="5" s="1"/>
  <c r="F73" i="5"/>
  <c r="F40" i="5" s="1"/>
  <c r="F59" i="5"/>
  <c r="F36" i="5" s="1"/>
  <c r="F18" i="5"/>
  <c r="F16" i="5"/>
  <c r="F15" i="5"/>
  <c r="F19" i="5"/>
  <c r="F17" i="5"/>
  <c r="F20" i="5"/>
  <c r="B29" i="6"/>
  <c r="G37" i="5" l="1"/>
  <c r="G40" i="5"/>
  <c r="G41" i="5"/>
  <c r="G42" i="5"/>
  <c r="D14" i="6"/>
  <c r="E14" i="6" s="1"/>
  <c r="B17" i="6"/>
  <c r="B15" i="6"/>
  <c r="D15" i="6" s="1"/>
  <c r="F32" i="5"/>
  <c r="F64" i="5"/>
  <c r="G64" i="5" s="1"/>
  <c r="G23" i="5"/>
  <c r="G24" i="5" s="1"/>
  <c r="F23" i="5"/>
  <c r="F24" i="5" s="1"/>
  <c r="G35" i="5"/>
  <c r="G36" i="5"/>
  <c r="F39" i="5"/>
  <c r="F77" i="5"/>
  <c r="F81" i="5" s="1"/>
  <c r="G77" i="5"/>
  <c r="G81" i="5" s="1"/>
  <c r="G39" i="5"/>
  <c r="D17" i="6" l="1"/>
  <c r="E17" i="6" s="1"/>
  <c r="B19" i="6"/>
  <c r="F26" i="5"/>
  <c r="F27" i="5" s="1"/>
  <c r="F28" i="5" s="1"/>
  <c r="E10" i="7"/>
  <c r="E45" i="7"/>
  <c r="G26" i="5"/>
  <c r="E11" i="7"/>
  <c r="E46" i="7"/>
  <c r="D19" i="6" l="1"/>
  <c r="E19" i="6" s="1"/>
  <c r="B20" i="6"/>
  <c r="D20" i="6"/>
  <c r="E20" i="6" s="1"/>
  <c r="B21" i="6"/>
  <c r="D21" i="6" s="1"/>
  <c r="G27" i="5"/>
  <c r="G28" i="5" s="1"/>
  <c r="F31" i="5"/>
  <c r="E50" i="7"/>
  <c r="E5" i="7"/>
  <c r="F44" i="5" l="1"/>
  <c r="F52" i="5" s="1"/>
  <c r="F86" i="5"/>
  <c r="G31" i="5"/>
  <c r="G44" i="5" s="1"/>
  <c r="G52" i="5" s="1"/>
  <c r="E6" i="7"/>
  <c r="E51" i="7"/>
  <c r="E26" i="7" l="1"/>
  <c r="E16" i="7"/>
  <c r="G86" i="5"/>
  <c r="G87" i="5" s="1"/>
  <c r="G88" i="5" s="1"/>
  <c r="F87" i="5"/>
  <c r="F88" i="5" s="1"/>
  <c r="F54" i="5"/>
  <c r="E25" i="7"/>
  <c r="E15" i="7"/>
  <c r="F57" i="5" l="1"/>
  <c r="G53" i="5"/>
  <c r="G54" i="5" s="1"/>
  <c r="G57" i="5" s="1"/>
  <c r="G63" i="5" l="1"/>
  <c r="G70" i="5" s="1"/>
  <c r="E31" i="7"/>
  <c r="F63" i="5"/>
  <c r="F70" i="5" s="1"/>
  <c r="E30" i="7"/>
  <c r="F90" i="5" l="1"/>
  <c r="E35" i="7"/>
  <c r="G90" i="5"/>
  <c r="E36" i="7"/>
</calcChain>
</file>

<file path=xl/sharedStrings.xml><?xml version="1.0" encoding="utf-8"?>
<sst xmlns="http://schemas.openxmlformats.org/spreadsheetml/2006/main" count="446" uniqueCount="226">
  <si>
    <t>CHIPOTLE — HISTORICAL FINANCIALS ($000s)</t>
  </si>
  <si>
    <t>2023A</t>
  </si>
  <si>
    <t>2024A</t>
  </si>
  <si>
    <t>2025A</t>
  </si>
  <si>
    <t>INCOME STATEMENT</t>
  </si>
  <si>
    <t>Food and beverage revenue</t>
  </si>
  <si>
    <t>Delivery service revenue</t>
  </si>
  <si>
    <t>Total revenue</t>
  </si>
  <si>
    <t>Food, beverage and packaging</t>
  </si>
  <si>
    <t>Labor</t>
  </si>
  <si>
    <t>Occupancy</t>
  </si>
  <si>
    <t>Other operating costs</t>
  </si>
  <si>
    <t>General and administrative</t>
  </si>
  <si>
    <t>Depreciation and amortization</t>
  </si>
  <si>
    <t>Pre-opening costs</t>
  </si>
  <si>
    <t>Impairment, closure costs, disposals</t>
  </si>
  <si>
    <t>Total operating expenses</t>
  </si>
  <si>
    <t>Income from operations</t>
  </si>
  <si>
    <t>Interest and other income, net</t>
  </si>
  <si>
    <t>Income before income taxes</t>
  </si>
  <si>
    <t>Provision for income taxes</t>
  </si>
  <si>
    <t>Net income</t>
  </si>
  <si>
    <t>Diluted weighted-avg shares</t>
  </si>
  <si>
    <t>BALANCE SHEET</t>
  </si>
  <si>
    <t>Cash and cash equivalents</t>
  </si>
  <si>
    <t>Accounts receivable, net</t>
  </si>
  <si>
    <t>Inventory</t>
  </si>
  <si>
    <t>Prepaid expenses and other current</t>
  </si>
  <si>
    <t>Income tax receivable</t>
  </si>
  <si>
    <t>Investments (current)</t>
  </si>
  <si>
    <t>Total current assets</t>
  </si>
  <si>
    <t>Leasehold improv., property &amp; equip., net</t>
  </si>
  <si>
    <t>Long-term investments</t>
  </si>
  <si>
    <t>Restricted cash</t>
  </si>
  <si>
    <t>Operating lease assets</t>
  </si>
  <si>
    <t>Other assets</t>
  </si>
  <si>
    <t>Goodwill</t>
  </si>
  <si>
    <t>Total assets</t>
  </si>
  <si>
    <t>Accounts payable</t>
  </si>
  <si>
    <t>Accrued payroll and benefits</t>
  </si>
  <si>
    <t>Accrued liabilities</t>
  </si>
  <si>
    <t>Unearned revenue</t>
  </si>
  <si>
    <t>Current operating lease liabilities</t>
  </si>
  <si>
    <t>Total current liabilities</t>
  </si>
  <si>
    <t>Long-term operating lease liabilities</t>
  </si>
  <si>
    <t>Deferred income tax liabilities</t>
  </si>
  <si>
    <t>Other liabilities</t>
  </si>
  <si>
    <t>Total liabilities</t>
  </si>
  <si>
    <t>Common stock</t>
  </si>
  <si>
    <t>Additional paid-in capital</t>
  </si>
  <si>
    <t>Accumulated other comprehensive loss</t>
  </si>
  <si>
    <t>Retained earnings</t>
  </si>
  <si>
    <t>Total shareholders' equity</t>
  </si>
  <si>
    <t>Total liabilities and equity</t>
  </si>
  <si>
    <t>CASH FLOW (SELECTED)</t>
  </si>
  <si>
    <t>Net cash from operating activities</t>
  </si>
  <si>
    <t>Capital expenditures</t>
  </si>
  <si>
    <t>Depreciation &amp; amortization (CF)</t>
  </si>
  <si>
    <t>Stock-based compensation (CF)</t>
  </si>
  <si>
    <t>Repurchases of common stock (cash)</t>
  </si>
  <si>
    <t>OPERATING METRICS</t>
  </si>
  <si>
    <t>Restaurants — beginning of year</t>
  </si>
  <si>
    <t xml:space="preserve">  New openings</t>
  </si>
  <si>
    <t xml:space="preserve">  Closures &amp; relocations</t>
  </si>
  <si>
    <t>Restaurants — end of year</t>
  </si>
  <si>
    <t>Average restaurant sales / AUV ($mm)</t>
  </si>
  <si>
    <t>Comparable restaurant sales growth</t>
  </si>
  <si>
    <t>CHIPOTLE MEXICAN GRILL (NYSE: CMG)</t>
  </si>
  <si>
    <t>Driver-Based 3-Statement Operating Model &amp; FP&amp;A Case Study</t>
  </si>
  <si>
    <t>All figures in $ thousands unless noted. Fiscal year ends December 31.</t>
  </si>
  <si>
    <t>PURPOSE</t>
  </si>
  <si>
    <t>A driver-based operating model for Chipotle built from the FY2025 Form 10-K. Revenue is</t>
  </si>
  <si>
    <t>forecast bottoms-up from restaurant units and average unit volume (AUV); costs are modeled</t>
  </si>
  <si>
    <t>as a percentage of revenue, consistent with how a restaurant FP&amp;A team operates. The income</t>
  </si>
  <si>
    <t>statement, balance sheet, and cash flow statement are fully linked and self-balancing.</t>
  </si>
  <si>
    <t>TABS</t>
  </si>
  <si>
    <t>1. Historicals</t>
  </si>
  <si>
    <t>Income statement (2023-25), balance sheet (2024-25), cash flow (2023-25) and key</t>
  </si>
  <si>
    <t>operating metrics, transcribed directly from the 10-K. Source notes in column to the right.</t>
  </si>
  <si>
    <t>2. Assumptions</t>
  </si>
  <si>
    <t>All forecast drivers, with a Base / Bull / Bear scenario switch (yellow cell). Historical</t>
  </si>
  <si>
    <t>ratios are shown alongside each driver so every assumption is anchored to actual results.</t>
  </si>
  <si>
    <t>3. Model</t>
  </si>
  <si>
    <t>The linked 3-statement forecast for 2026E-2027E next to 2023A-2025A actuals. Includes a</t>
  </si>
  <si>
    <t>balance-sheet check row that must equal zero in every column.</t>
  </si>
  <si>
    <t>4. Variance</t>
  </si>
  <si>
    <t>Actual-vs-model backtest for FY2025 with a driver-based bridge decomposing the gap.</t>
  </si>
  <si>
    <t>A flat, tidy table of the key metrics by year, formatted for direct import into Power BI.</t>
  </si>
  <si>
    <t>HOW TO RUN SCENARIOS</t>
  </si>
  <si>
    <t>On the Assumptions tab, change the yellow scenario cell (1 = Base, 2 = Bull, 3 = Bear).</t>
  </si>
  <si>
    <t>Every driver and the entire model update automatically.</t>
  </si>
  <si>
    <t>COLOR KEY</t>
  </si>
  <si>
    <t xml:space="preserve">  Blue</t>
  </si>
  <si>
    <t>Hardcoded input / assumption you can change</t>
  </si>
  <si>
    <t xml:space="preserve">  Black</t>
  </si>
  <si>
    <t>Formula / calculation</t>
  </si>
  <si>
    <t xml:space="preserve">  Green</t>
  </si>
  <si>
    <t>Link pulling from another tab</t>
  </si>
  <si>
    <t>KEY SIMPLIFYING ASSUMPTIONS (be ready to defend these)</t>
  </si>
  <si>
    <t>- Revenue = average units x revenue-per-average-unit; per-unit revenue grows at the comps rate.</t>
  </si>
  <si>
    <t>- Investments, goodwill, restricted cash, deferred tax and other long-term items held flat.</t>
  </si>
  <si>
    <t>- Share buybacks are an input; cash is the balancing plug (standard 3-statement convention).</t>
  </si>
  <si>
    <t>- Stock buybacks charged entirely to retained earnings (par effect immaterial, ~$0.6m in 2025).</t>
  </si>
  <si>
    <t>PRIMARY SOURCE</t>
  </si>
  <si>
    <t>Chipotle Mexican Grill, Inc. Form 10-K for FY ended Dec 31, 2025 (filed Feb 4, 2026).</t>
  </si>
  <si>
    <t>CHIPOTLE — FORECAST ASSUMPTIONS</t>
  </si>
  <si>
    <t>Change the yellow cell to switch scenarios</t>
  </si>
  <si>
    <t>SCENARIO (1=Base, 2=Bull, 3=Bear)</t>
  </si>
  <si>
    <t>A. GROWTH DRIVERS (by year)</t>
  </si>
  <si>
    <t>2026 Base</t>
  </si>
  <si>
    <t>2026 Bull</t>
  </si>
  <si>
    <t>2026 Bear</t>
  </si>
  <si>
    <t>2026 ACTIVE</t>
  </si>
  <si>
    <t>2027 Base</t>
  </si>
  <si>
    <t>2027 Bull</t>
  </si>
  <si>
    <t>2027 Bear</t>
  </si>
  <si>
    <t>2027 ACTIVE</t>
  </si>
  <si>
    <t>New restaurant openings (gross)</t>
  </si>
  <si>
    <t>Permanent closures</t>
  </si>
  <si>
    <t>Comparable / per-unit growth</t>
  </si>
  <si>
    <t>B. MARGIN &amp; POLICY DRIVERS</t>
  </si>
  <si>
    <t>Base</t>
  </si>
  <si>
    <t>Bull</t>
  </si>
  <si>
    <t>Bear</t>
  </si>
  <si>
    <t>ACTIVE</t>
  </si>
  <si>
    <t>Food, beverage &amp; packaging % of revenue</t>
  </si>
  <si>
    <t>Labor % of revenue</t>
  </si>
  <si>
    <t>Occupancy % of revenue</t>
  </si>
  <si>
    <t>Other operating % of revenue</t>
  </si>
  <si>
    <t>G&amp;A % of revenue</t>
  </si>
  <si>
    <t>D&amp;A % of revenue</t>
  </si>
  <si>
    <t>Pre-opening cost per new restaurant ($000)</t>
  </si>
  <si>
    <t>Impairment &amp; closure costs ($000)</t>
  </si>
  <si>
    <t>Interest/other income yield on cash+investments</t>
  </si>
  <si>
    <t>Effective tax rate</t>
  </si>
  <si>
    <t>Capex per new restaurant ($000)</t>
  </si>
  <si>
    <t>Existing / corporate capex ($000)</t>
  </si>
  <si>
    <t>Share repurchases ($000)</t>
  </si>
  <si>
    <t>CHIPOTLE — 3-STATEMENT OPERATING MODEL ($000s)</t>
  </si>
  <si>
    <t>2026E</t>
  </si>
  <si>
    <t>2027E</t>
  </si>
  <si>
    <t>UNIT &amp; REVENUE BUILD</t>
  </si>
  <si>
    <t>New openings (gross)</t>
  </si>
  <si>
    <t>Closures &amp; relocations</t>
  </si>
  <si>
    <t>Average restaurants</t>
  </si>
  <si>
    <t>Revenue per avg restaurant ($000)</t>
  </si>
  <si>
    <t>Total revenue ($000)</t>
  </si>
  <si>
    <t xml:space="preserve">Income Statement </t>
  </si>
  <si>
    <t xml:space="preserve"> Food, beverage &amp; packaging</t>
  </si>
  <si>
    <t>Labour</t>
  </si>
  <si>
    <t>G&amp;A</t>
  </si>
  <si>
    <t>D&amp;A</t>
  </si>
  <si>
    <t xml:space="preserve">Pre opening </t>
  </si>
  <si>
    <t xml:space="preserve">Net Income </t>
  </si>
  <si>
    <t>CASH FLOW STATEMENT</t>
  </si>
  <si>
    <t>Depreciation &amp; amortization</t>
  </si>
  <si>
    <t>Stock-based compensation</t>
  </si>
  <si>
    <t>Changes in working capital:</t>
  </si>
  <si>
    <t>Accounts receivable</t>
  </si>
  <si>
    <t>Prepaid &amp; other current</t>
  </si>
  <si>
    <t>Accrued payroll</t>
  </si>
  <si>
    <t>Other (net)</t>
  </si>
  <si>
    <t>Cash from operations</t>
  </si>
  <si>
    <t>Cash from investing</t>
  </si>
  <si>
    <t>Share repurchases</t>
  </si>
  <si>
    <t>Cash from financing</t>
  </si>
  <si>
    <t>Net change in cash</t>
  </si>
  <si>
    <t>Beginning cash</t>
  </si>
  <si>
    <t>Ending cash</t>
  </si>
  <si>
    <t>Property, plant &amp; equipment, net</t>
  </si>
  <si>
    <t>Accumulated OCI</t>
  </si>
  <si>
    <t>BALANCE CHECK (should = 0)</t>
  </si>
  <si>
    <t>FY2025 Budget</t>
  </si>
  <si>
    <t>FY2025 Actual</t>
  </si>
  <si>
    <t>Variance $</t>
  </si>
  <si>
    <t>Variance %</t>
  </si>
  <si>
    <t>Commentary</t>
  </si>
  <si>
    <t>CHIPOTLE — FY2025 VARIANCE ANALYSIS ($000s)</t>
  </si>
  <si>
    <t>Budget anchored to management guidance from Q4'24 earnings call (Feb 2025)</t>
  </si>
  <si>
    <t>DRIVERS</t>
  </si>
  <si>
    <t>Comparable sales growth</t>
  </si>
  <si>
    <t>INCOME STATEMENT ($000)</t>
  </si>
  <si>
    <t>Operating margin %</t>
  </si>
  <si>
    <t>Interest and other income</t>
  </si>
  <si>
    <t>Effective tax rate %</t>
  </si>
  <si>
    <t>Net income margin %</t>
  </si>
  <si>
    <t>REVENUE BRIDGE — VOLUME vs RATE</t>
  </si>
  <si>
    <t>Budgeted revenue</t>
  </si>
  <si>
    <t>(+) Volume effect</t>
  </si>
  <si>
    <t>(+) Rate effect</t>
  </si>
  <si>
    <t>Actual revenue</t>
  </si>
  <si>
    <t>Volume % of total variance</t>
  </si>
  <si>
    <t>Rate % of total variance</t>
  </si>
  <si>
    <t xml:space="preserve">Year </t>
  </si>
  <si>
    <t>Period</t>
  </si>
  <si>
    <t>Metric</t>
  </si>
  <si>
    <t xml:space="preserve">Category </t>
  </si>
  <si>
    <t xml:space="preserve">Value </t>
  </si>
  <si>
    <t>Actual</t>
  </si>
  <si>
    <t>Revenue</t>
  </si>
  <si>
    <t>Income</t>
  </si>
  <si>
    <t>Forecast</t>
  </si>
  <si>
    <t>Operating income</t>
  </si>
  <si>
    <t>Cashflow</t>
  </si>
  <si>
    <t>Capex</t>
  </si>
  <si>
    <t>Free cash flow</t>
  </si>
  <si>
    <t>Balance</t>
  </si>
  <si>
    <t>Restaurants</t>
  </si>
  <si>
    <t>KPI</t>
  </si>
  <si>
    <t>Operating margin</t>
  </si>
  <si>
    <t>Net margin</t>
  </si>
  <si>
    <t>Comps</t>
  </si>
  <si>
    <t>Non Comps</t>
  </si>
  <si>
    <t>Actual years show selected cash flow lines only; the full cash roll starts in 2026E</t>
  </si>
  <si>
    <t>FY2025 10-K, Consolidated Statements of Income</t>
  </si>
  <si>
    <t>: FY2025 10-K, Consolidated Balance Sheets</t>
  </si>
  <si>
    <t>FY2025 10-K, Consolidated Statements of Cash Flows</t>
  </si>
  <si>
    <t>FY2025 10-K, Item 7 (MD&amp;A)</t>
  </si>
  <si>
    <t>5. Dashboard</t>
  </si>
  <si>
    <t xml:space="preserve"> Operating lease assets and liabilities held flat at 2025 levels (non-cash; rent is already in occupancy costs).</t>
  </si>
  <si>
    <t>Source / note</t>
  </si>
  <si>
    <t>Feb 2026 guidance: 350-370 openings incl. 10-15 international partner-operated</t>
  </si>
  <si>
    <t>Feb 2026 guidance: 2026 comparable sales about flat</t>
  </si>
  <si>
    <t>Base = midpoint of Feb 2026 guidance (24%-26% before discrete items)</t>
  </si>
  <si>
    <t>Budget operating margin (assumption)</t>
  </si>
  <si>
    <t>Budget = midpoint of Feb 2025 guidance (25%-27%)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</si>
</sst>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sz val="10"/>
      <color theme="1"/>
      <name val="Arial Unicode MS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1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1"/>
    <xf numFmtId="0" fontId="4" fillId="0" borderId="0" xfId="1" applyFont="1"/>
    <xf numFmtId="0" fontId="5" fillId="0" borderId="0" xfId="1" applyFont="1"/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9" fillId="0" borderId="0" xfId="1" applyFont="1" applyAlignment="1">
      <alignment horizontal="left"/>
    </xf>
    <xf numFmtId="0" fontId="6" fillId="3" borderId="0" xfId="1" applyFont="1" applyFill="1" applyAlignment="1">
      <alignment horizontal="left"/>
    </xf>
    <xf numFmtId="0" fontId="1" fillId="4" borderId="0" xfId="0" applyFont="1" applyFill="1"/>
    <xf numFmtId="0" fontId="10" fillId="0" borderId="0" xfId="0" applyFont="1"/>
    <xf numFmtId="0" fontId="0" fillId="0" borderId="0" xfId="0" applyAlignment="1">
      <alignment wrapText="1"/>
    </xf>
    <xf numFmtId="1" fontId="0" fillId="0" borderId="0" xfId="0" applyNumberFormat="1"/>
    <xf numFmtId="1" fontId="10" fillId="0" borderId="0" xfId="0" applyNumberFormat="1" applyFont="1"/>
    <xf numFmtId="164" fontId="0" fillId="0" borderId="0" xfId="2" applyNumberFormat="1" applyFont="1"/>
    <xf numFmtId="165" fontId="0" fillId="0" borderId="0" xfId="0" applyNumberFormat="1"/>
    <xf numFmtId="2" fontId="0" fillId="0" borderId="0" xfId="0" applyNumberFormat="1"/>
    <xf numFmtId="0" fontId="6" fillId="2" borderId="0" xfId="1" applyFont="1" applyFill="1" applyAlignment="1">
      <alignment horizontal="left"/>
    </xf>
    <xf numFmtId="0" fontId="3" fillId="0" borderId="0" xfId="1" applyFont="1" applyAlignment="1">
      <alignment horizontal="left"/>
    </xf>
    <xf numFmtId="0" fontId="3" fillId="3" borderId="0" xfId="1" applyFont="1" applyFill="1" applyAlignment="1">
      <alignment horizontal="left"/>
    </xf>
    <xf numFmtId="9" fontId="0" fillId="0" borderId="0" xfId="2" applyFont="1"/>
  </cellXfs>
  <cellStyles count="3">
    <cellStyle name="Normal" xfId="0" builtinId="0"/>
    <cellStyle name="Normal 2" xfId="1" xr:uid="{E5964F15-B24A-4002-A17C-A1E806D19EC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7807</xdr:rowOff>
    </xdr:from>
    <xdr:ext cx="4910840" cy="9915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D50E02-67EB-4701-8541-81CA115B7E66}"/>
            </a:ext>
          </a:extLst>
        </xdr:cNvPr>
        <xdr:cNvSpPr txBox="1"/>
      </xdr:nvSpPr>
      <xdr:spPr>
        <a:xfrm>
          <a:off x="0" y="5754037"/>
          <a:ext cx="4910840" cy="9915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/>
            <a:t>FY2025 revenue missed budget by $0.83B (−6.5%). Unit growth was on plan (334 openings vs 330 budgeted), so the miss came from revenue per restaurant: about $0.70B from comparable sales (−1.7% vs +4.0% budgeted) and about $0.14B from non-comp restaurants (new-unit ramp and timing). The shortfall is primarily demand-side, not a development miss.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2D43-F404-44BD-B8C3-340DF0D3C161}">
  <dimension ref="A1:F38"/>
  <sheetViews>
    <sheetView topLeftCell="A21" workbookViewId="0">
      <selection activeCell="B39" sqref="B39"/>
    </sheetView>
  </sheetViews>
  <sheetFormatPr defaultRowHeight="14.25"/>
  <cols>
    <col min="1" max="1" width="59.796875" bestFit="1" customWidth="1"/>
    <col min="6" max="6" width="42.33203125" customWidth="1"/>
  </cols>
  <sheetData>
    <row r="1" spans="1:6" ht="17.649999999999999">
      <c r="A1" s="2" t="s">
        <v>67</v>
      </c>
      <c r="B1" s="1"/>
      <c r="C1" s="1"/>
      <c r="D1" s="1"/>
      <c r="E1" s="1"/>
      <c r="F1" s="1"/>
    </row>
    <row r="2" spans="1:6">
      <c r="A2" s="3" t="s">
        <v>68</v>
      </c>
      <c r="B2" s="1"/>
      <c r="C2" s="1"/>
      <c r="D2" s="1"/>
      <c r="E2" s="1"/>
      <c r="F2" s="1"/>
    </row>
    <row r="3" spans="1:6">
      <c r="A3" s="3" t="s">
        <v>69</v>
      </c>
      <c r="B3" s="1"/>
      <c r="C3" s="1"/>
      <c r="D3" s="1"/>
      <c r="E3" s="1"/>
      <c r="F3" s="1"/>
    </row>
    <row r="6" spans="1:6">
      <c r="A6" s="17" t="s">
        <v>70</v>
      </c>
      <c r="B6" s="17"/>
      <c r="C6" s="17"/>
      <c r="D6" s="17"/>
      <c r="E6" s="17"/>
      <c r="F6" s="17"/>
    </row>
    <row r="7" spans="1:6">
      <c r="B7" s="18" t="s">
        <v>71</v>
      </c>
      <c r="C7" s="18"/>
      <c r="D7" s="18"/>
      <c r="E7" s="18"/>
      <c r="F7" s="18"/>
    </row>
    <row r="8" spans="1:6">
      <c r="B8" s="18" t="s">
        <v>72</v>
      </c>
      <c r="C8" s="18"/>
      <c r="D8" s="18"/>
      <c r="E8" s="18"/>
      <c r="F8" s="18"/>
    </row>
    <row r="9" spans="1:6">
      <c r="B9" s="18" t="s">
        <v>73</v>
      </c>
      <c r="C9" s="18"/>
      <c r="D9" s="18"/>
      <c r="E9" s="18"/>
      <c r="F9" s="18"/>
    </row>
    <row r="10" spans="1:6">
      <c r="B10" s="18" t="s">
        <v>74</v>
      </c>
      <c r="C10" s="18"/>
      <c r="D10" s="18"/>
      <c r="E10" s="18"/>
      <c r="F10" s="18"/>
    </row>
    <row r="12" spans="1:6">
      <c r="A12" s="17" t="s">
        <v>75</v>
      </c>
      <c r="B12" s="17"/>
      <c r="C12" s="17"/>
      <c r="D12" s="17"/>
      <c r="E12" s="17"/>
      <c r="F12" s="17"/>
    </row>
    <row r="13" spans="1:6">
      <c r="A13" s="4" t="s">
        <v>76</v>
      </c>
      <c r="B13" s="18" t="s">
        <v>77</v>
      </c>
      <c r="C13" s="18"/>
      <c r="D13" s="18"/>
      <c r="E13" s="18"/>
      <c r="F13" s="18"/>
    </row>
    <row r="14" spans="1:6">
      <c r="B14" s="18" t="s">
        <v>78</v>
      </c>
      <c r="C14" s="18"/>
      <c r="D14" s="18"/>
      <c r="E14" s="18"/>
      <c r="F14" s="18"/>
    </row>
    <row r="15" spans="1:6">
      <c r="A15" s="4" t="s">
        <v>79</v>
      </c>
      <c r="B15" s="18" t="s">
        <v>80</v>
      </c>
      <c r="C15" s="18"/>
      <c r="D15" s="18"/>
      <c r="E15" s="18"/>
      <c r="F15" s="18"/>
    </row>
    <row r="16" spans="1:6">
      <c r="B16" s="18" t="s">
        <v>81</v>
      </c>
      <c r="C16" s="18"/>
      <c r="D16" s="18"/>
      <c r="E16" s="18"/>
      <c r="F16" s="18"/>
    </row>
    <row r="17" spans="1:6">
      <c r="A17" s="4" t="s">
        <v>82</v>
      </c>
      <c r="B17" s="18" t="s">
        <v>83</v>
      </c>
      <c r="C17" s="18"/>
      <c r="D17" s="18"/>
      <c r="E17" s="18"/>
      <c r="F17" s="18"/>
    </row>
    <row r="18" spans="1:6">
      <c r="B18" s="18" t="s">
        <v>84</v>
      </c>
      <c r="C18" s="18"/>
      <c r="D18" s="18"/>
      <c r="E18" s="18"/>
      <c r="F18" s="18"/>
    </row>
    <row r="19" spans="1:6">
      <c r="A19" s="4" t="s">
        <v>85</v>
      </c>
      <c r="B19" s="18" t="s">
        <v>86</v>
      </c>
      <c r="C19" s="18"/>
      <c r="D19" s="18"/>
      <c r="E19" s="18"/>
      <c r="F19" s="18"/>
    </row>
    <row r="20" spans="1:6">
      <c r="A20" s="4" t="s">
        <v>218</v>
      </c>
      <c r="B20" s="18" t="s">
        <v>87</v>
      </c>
      <c r="C20" s="18"/>
      <c r="D20" s="18"/>
      <c r="E20" s="18"/>
      <c r="F20" s="18"/>
    </row>
    <row r="22" spans="1:6">
      <c r="A22" s="17" t="s">
        <v>88</v>
      </c>
      <c r="B22" s="17"/>
      <c r="C22" s="17"/>
      <c r="D22" s="17"/>
      <c r="E22" s="17"/>
      <c r="F22" s="17"/>
    </row>
    <row r="23" spans="1:6">
      <c r="B23" s="18" t="s">
        <v>89</v>
      </c>
      <c r="C23" s="18"/>
      <c r="D23" s="18"/>
      <c r="E23" s="18"/>
      <c r="F23" s="18"/>
    </row>
    <row r="24" spans="1:6">
      <c r="B24" s="18" t="s">
        <v>90</v>
      </c>
      <c r="C24" s="18"/>
      <c r="D24" s="18"/>
      <c r="E24" s="18"/>
      <c r="F24" s="18"/>
    </row>
    <row r="26" spans="1:6">
      <c r="A26" s="17" t="s">
        <v>91</v>
      </c>
      <c r="B26" s="17"/>
      <c r="C26" s="17"/>
      <c r="D26" s="17"/>
      <c r="E26" s="17"/>
      <c r="F26" s="17"/>
    </row>
    <row r="27" spans="1:6">
      <c r="A27" s="5" t="s">
        <v>92</v>
      </c>
      <c r="B27" s="18" t="s">
        <v>93</v>
      </c>
      <c r="C27" s="18"/>
      <c r="D27" s="18"/>
      <c r="E27" s="18"/>
      <c r="F27" s="18"/>
    </row>
    <row r="28" spans="1:6">
      <c r="A28" s="6" t="s">
        <v>94</v>
      </c>
      <c r="B28" s="18" t="s">
        <v>95</v>
      </c>
      <c r="C28" s="18"/>
      <c r="D28" s="18"/>
      <c r="E28" s="18"/>
      <c r="F28" s="18"/>
    </row>
    <row r="29" spans="1:6">
      <c r="A29" s="7" t="s">
        <v>96</v>
      </c>
      <c r="B29" s="18" t="s">
        <v>97</v>
      </c>
      <c r="C29" s="18"/>
      <c r="D29" s="18"/>
      <c r="E29" s="18"/>
      <c r="F29" s="18"/>
    </row>
    <row r="31" spans="1:6">
      <c r="A31" s="17" t="s">
        <v>98</v>
      </c>
      <c r="B31" s="17"/>
      <c r="C31" s="17"/>
      <c r="D31" s="17"/>
      <c r="E31" s="17"/>
      <c r="F31" s="17"/>
    </row>
    <row r="32" spans="1:6">
      <c r="B32" s="18" t="s">
        <v>99</v>
      </c>
      <c r="C32" s="18"/>
      <c r="D32" s="18"/>
      <c r="E32" s="18"/>
      <c r="F32" s="18"/>
    </row>
    <row r="33" spans="1:6">
      <c r="B33" s="18" t="s">
        <v>100</v>
      </c>
      <c r="C33" s="18"/>
      <c r="D33" s="18"/>
      <c r="E33" s="18"/>
      <c r="F33" s="18"/>
    </row>
    <row r="34" spans="1:6">
      <c r="B34" s="18" t="s">
        <v>219</v>
      </c>
      <c r="C34" s="18"/>
      <c r="D34" s="18"/>
      <c r="E34" s="18"/>
      <c r="F34" s="18"/>
    </row>
    <row r="35" spans="1:6">
      <c r="B35" s="18" t="s">
        <v>101</v>
      </c>
      <c r="C35" s="18"/>
      <c r="D35" s="18"/>
      <c r="E35" s="18"/>
      <c r="F35" s="18"/>
    </row>
    <row r="36" spans="1:6">
      <c r="B36" s="18" t="s">
        <v>102</v>
      </c>
      <c r="C36" s="18"/>
      <c r="D36" s="18"/>
      <c r="E36" s="18"/>
      <c r="F36" s="18"/>
    </row>
    <row r="37" spans="1:6">
      <c r="A37" s="9"/>
      <c r="B37" s="9"/>
      <c r="C37" s="9"/>
      <c r="D37" s="9"/>
      <c r="E37" s="9"/>
      <c r="F37" s="9"/>
    </row>
    <row r="38" spans="1:6">
      <c r="A38" s="8" t="s">
        <v>103</v>
      </c>
      <c r="B38" s="19" t="s">
        <v>104</v>
      </c>
      <c r="C38" s="19"/>
      <c r="D38" s="19"/>
      <c r="E38" s="19"/>
      <c r="F38" s="19"/>
    </row>
  </sheetData>
  <mergeCells count="28">
    <mergeCell ref="B35:F35"/>
    <mergeCell ref="B36:F36"/>
    <mergeCell ref="B38:F38"/>
    <mergeCell ref="B29:F29"/>
    <mergeCell ref="A31:F31"/>
    <mergeCell ref="B32:F32"/>
    <mergeCell ref="B33:F33"/>
    <mergeCell ref="B34:F34"/>
    <mergeCell ref="B23:F23"/>
    <mergeCell ref="B24:F24"/>
    <mergeCell ref="A26:F26"/>
    <mergeCell ref="B27:F27"/>
    <mergeCell ref="B28:F28"/>
    <mergeCell ref="B17:F17"/>
    <mergeCell ref="B18:F18"/>
    <mergeCell ref="B19:F19"/>
    <mergeCell ref="B20:F20"/>
    <mergeCell ref="A22:F22"/>
    <mergeCell ref="A12:F12"/>
    <mergeCell ref="B13:F13"/>
    <mergeCell ref="B14:F14"/>
    <mergeCell ref="B15:F15"/>
    <mergeCell ref="B16:F16"/>
    <mergeCell ref="A6:F6"/>
    <mergeCell ref="B7:F7"/>
    <mergeCell ref="B8:F8"/>
    <mergeCell ref="B9:F9"/>
    <mergeCell ref="B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D112-30E7-4E44-A530-DAC72D860DE9}">
  <dimension ref="A1:E67"/>
  <sheetViews>
    <sheetView topLeftCell="B21" zoomScale="57" zoomScaleNormal="30" workbookViewId="0">
      <selection activeCell="B62" sqref="B62"/>
    </sheetView>
  </sheetViews>
  <sheetFormatPr defaultRowHeight="14.25"/>
  <cols>
    <col min="1" max="1" width="36.73046875" bestFit="1" customWidth="1"/>
    <col min="2" max="2" width="7.73046875" bestFit="1" customWidth="1"/>
    <col min="3" max="4" width="8.73046875" bestFit="1" customWidth="1"/>
    <col min="5" max="5" width="9.06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 t="s">
        <v>4</v>
      </c>
      <c r="E2" t="s">
        <v>214</v>
      </c>
    </row>
    <row r="3" spans="1:5">
      <c r="A3" t="s">
        <v>5</v>
      </c>
      <c r="B3">
        <v>9804124</v>
      </c>
      <c r="C3">
        <v>11247384</v>
      </c>
      <c r="D3">
        <v>11866051</v>
      </c>
    </row>
    <row r="4" spans="1:5">
      <c r="A4" t="s">
        <v>6</v>
      </c>
      <c r="B4">
        <v>67525</v>
      </c>
      <c r="C4">
        <v>66469</v>
      </c>
      <c r="D4">
        <v>59550</v>
      </c>
    </row>
    <row r="5" spans="1:5">
      <c r="A5" t="s">
        <v>7</v>
      </c>
      <c r="B5">
        <f>SUM(B3:B4)</f>
        <v>9871649</v>
      </c>
      <c r="C5">
        <f t="shared" ref="C5:D5" si="0">SUM(C3:C4)</f>
        <v>11313853</v>
      </c>
      <c r="D5">
        <f t="shared" si="0"/>
        <v>11925601</v>
      </c>
    </row>
    <row r="6" spans="1:5">
      <c r="A6" t="s">
        <v>8</v>
      </c>
      <c r="B6">
        <v>2912564</v>
      </c>
      <c r="C6">
        <v>3374516</v>
      </c>
      <c r="D6">
        <v>3526992</v>
      </c>
    </row>
    <row r="7" spans="1:5">
      <c r="A7" t="s">
        <v>9</v>
      </c>
      <c r="B7">
        <v>2440982</v>
      </c>
      <c r="C7">
        <v>2789789</v>
      </c>
      <c r="D7">
        <v>2991680</v>
      </c>
    </row>
    <row r="8" spans="1:5">
      <c r="A8" t="s">
        <v>10</v>
      </c>
      <c r="B8">
        <v>503264</v>
      </c>
      <c r="C8">
        <v>563374</v>
      </c>
      <c r="D8">
        <v>624898</v>
      </c>
    </row>
    <row r="9" spans="1:5">
      <c r="A9" t="s">
        <v>11</v>
      </c>
      <c r="B9">
        <v>1428747</v>
      </c>
      <c r="C9">
        <v>1568482</v>
      </c>
      <c r="D9">
        <v>1755824</v>
      </c>
    </row>
    <row r="10" spans="1:5">
      <c r="A10" t="s">
        <v>12</v>
      </c>
      <c r="B10">
        <v>633584</v>
      </c>
      <c r="C10">
        <v>697483</v>
      </c>
      <c r="D10">
        <v>652017</v>
      </c>
    </row>
    <row r="11" spans="1:5">
      <c r="A11" t="s">
        <v>13</v>
      </c>
      <c r="B11">
        <v>319394</v>
      </c>
      <c r="C11">
        <v>335030</v>
      </c>
      <c r="D11">
        <v>361382</v>
      </c>
    </row>
    <row r="12" spans="1:5">
      <c r="A12" t="s">
        <v>14</v>
      </c>
      <c r="B12">
        <v>36931</v>
      </c>
      <c r="C12">
        <v>41897</v>
      </c>
      <c r="D12">
        <v>49507</v>
      </c>
    </row>
    <row r="13" spans="1:5">
      <c r="A13" t="s">
        <v>15</v>
      </c>
      <c r="B13">
        <v>38370</v>
      </c>
      <c r="C13">
        <v>26949</v>
      </c>
      <c r="D13">
        <v>27503</v>
      </c>
    </row>
    <row r="14" spans="1:5">
      <c r="A14" t="s">
        <v>16</v>
      </c>
      <c r="B14">
        <v>8313836</v>
      </c>
      <c r="C14">
        <v>9397520</v>
      </c>
      <c r="D14">
        <v>9989803</v>
      </c>
    </row>
    <row r="15" spans="1:5">
      <c r="A15" t="s">
        <v>17</v>
      </c>
      <c r="B15">
        <v>1557813</v>
      </c>
      <c r="C15">
        <v>1916333</v>
      </c>
      <c r="D15">
        <v>1935798</v>
      </c>
    </row>
    <row r="16" spans="1:5">
      <c r="A16" t="s">
        <v>18</v>
      </c>
      <c r="B16">
        <v>62693</v>
      </c>
      <c r="C16">
        <v>93897</v>
      </c>
      <c r="D16">
        <v>73721</v>
      </c>
    </row>
    <row r="17" spans="1:5">
      <c r="A17" t="s">
        <v>19</v>
      </c>
      <c r="B17">
        <v>1620506</v>
      </c>
      <c r="C17">
        <v>2010230</v>
      </c>
      <c r="D17">
        <v>2009519</v>
      </c>
    </row>
    <row r="18" spans="1:5">
      <c r="A18" t="s">
        <v>20</v>
      </c>
      <c r="B18">
        <v>391769</v>
      </c>
      <c r="C18">
        <v>476120</v>
      </c>
      <c r="D18">
        <v>473758</v>
      </c>
    </row>
    <row r="19" spans="1:5">
      <c r="A19" t="s">
        <v>21</v>
      </c>
      <c r="B19">
        <v>1228737</v>
      </c>
      <c r="C19">
        <v>1534110</v>
      </c>
      <c r="D19">
        <v>1535761</v>
      </c>
    </row>
    <row r="20" spans="1:5">
      <c r="A20" t="s">
        <v>22</v>
      </c>
      <c r="B20">
        <v>1385500</v>
      </c>
      <c r="C20">
        <v>1376555</v>
      </c>
      <c r="D20">
        <v>1342616</v>
      </c>
    </row>
    <row r="22" spans="1:5">
      <c r="A22" t="s">
        <v>23</v>
      </c>
      <c r="C22" t="s">
        <v>2</v>
      </c>
      <c r="D22" t="s">
        <v>3</v>
      </c>
      <c r="E22" t="s">
        <v>215</v>
      </c>
    </row>
    <row r="23" spans="1:5">
      <c r="A23" t="s">
        <v>24</v>
      </c>
      <c r="C23">
        <v>748537</v>
      </c>
      <c r="D23">
        <v>350545</v>
      </c>
    </row>
    <row r="24" spans="1:5">
      <c r="A24" t="s">
        <v>25</v>
      </c>
      <c r="C24">
        <v>143963</v>
      </c>
      <c r="D24">
        <v>156466</v>
      </c>
    </row>
    <row r="25" spans="1:5">
      <c r="A25" t="s">
        <v>26</v>
      </c>
      <c r="C25">
        <v>48942</v>
      </c>
      <c r="D25">
        <v>49508</v>
      </c>
    </row>
    <row r="26" spans="1:5">
      <c r="A26" t="s">
        <v>27</v>
      </c>
      <c r="C26">
        <v>97538</v>
      </c>
      <c r="D26">
        <v>120450</v>
      </c>
    </row>
    <row r="27" spans="1:5">
      <c r="A27" t="s">
        <v>28</v>
      </c>
      <c r="C27">
        <v>67229</v>
      </c>
      <c r="D27">
        <v>91393</v>
      </c>
    </row>
    <row r="28" spans="1:5">
      <c r="A28" t="s">
        <v>29</v>
      </c>
      <c r="C28">
        <v>674378</v>
      </c>
      <c r="D28">
        <v>698591</v>
      </c>
    </row>
    <row r="29" spans="1:5">
      <c r="A29" t="s">
        <v>30</v>
      </c>
      <c r="C29">
        <v>1780587</v>
      </c>
      <c r="D29">
        <v>1466953</v>
      </c>
    </row>
    <row r="30" spans="1:5">
      <c r="A30" t="s">
        <v>31</v>
      </c>
      <c r="C30">
        <v>2390126</v>
      </c>
      <c r="D30">
        <v>2679361</v>
      </c>
    </row>
    <row r="31" spans="1:5">
      <c r="A31" t="s">
        <v>32</v>
      </c>
      <c r="C31">
        <v>868025</v>
      </c>
      <c r="D31">
        <v>197123</v>
      </c>
    </row>
    <row r="32" spans="1:5">
      <c r="A32" t="s">
        <v>33</v>
      </c>
      <c r="C32">
        <v>29842</v>
      </c>
      <c r="D32">
        <v>35364</v>
      </c>
    </row>
    <row r="33" spans="1:4">
      <c r="A33" t="s">
        <v>34</v>
      </c>
      <c r="C33">
        <v>4000127</v>
      </c>
      <c r="D33">
        <v>4463010</v>
      </c>
    </row>
    <row r="34" spans="1:4">
      <c r="A34" t="s">
        <v>35</v>
      </c>
      <c r="C34">
        <v>113728</v>
      </c>
      <c r="D34">
        <v>130781</v>
      </c>
    </row>
    <row r="35" spans="1:4">
      <c r="A35" t="s">
        <v>36</v>
      </c>
      <c r="C35">
        <v>21939</v>
      </c>
      <c r="D35">
        <v>21939</v>
      </c>
    </row>
    <row r="36" spans="1:4">
      <c r="A36" t="s">
        <v>37</v>
      </c>
      <c r="C36">
        <v>9204374</v>
      </c>
      <c r="D36">
        <v>8994531</v>
      </c>
    </row>
    <row r="37" spans="1:4">
      <c r="A37" t="s">
        <v>38</v>
      </c>
      <c r="C37">
        <v>210695</v>
      </c>
      <c r="D37">
        <v>212813</v>
      </c>
    </row>
    <row r="38" spans="1:4">
      <c r="A38" t="s">
        <v>39</v>
      </c>
      <c r="C38">
        <v>261913</v>
      </c>
      <c r="D38">
        <v>250126</v>
      </c>
    </row>
    <row r="39" spans="1:4">
      <c r="A39" t="s">
        <v>40</v>
      </c>
      <c r="C39">
        <v>179747</v>
      </c>
      <c r="D39">
        <v>182448</v>
      </c>
    </row>
    <row r="40" spans="1:4">
      <c r="A40" t="s">
        <v>41</v>
      </c>
      <c r="C40">
        <v>238577</v>
      </c>
      <c r="D40">
        <v>240375</v>
      </c>
    </row>
    <row r="41" spans="1:4">
      <c r="A41" t="s">
        <v>42</v>
      </c>
      <c r="C41">
        <v>277836</v>
      </c>
      <c r="D41">
        <v>302380</v>
      </c>
    </row>
    <row r="42" spans="1:4">
      <c r="A42" t="s">
        <v>43</v>
      </c>
      <c r="C42">
        <v>1168768</v>
      </c>
      <c r="D42">
        <v>1188142</v>
      </c>
    </row>
    <row r="43" spans="1:4">
      <c r="A43" t="s">
        <v>44</v>
      </c>
      <c r="C43">
        <v>4262782</v>
      </c>
      <c r="D43">
        <v>4773434</v>
      </c>
    </row>
    <row r="44" spans="1:4">
      <c r="A44" t="s">
        <v>45</v>
      </c>
      <c r="C44">
        <v>46208</v>
      </c>
      <c r="D44">
        <v>125674</v>
      </c>
    </row>
    <row r="45" spans="1:4">
      <c r="A45" t="s">
        <v>46</v>
      </c>
      <c r="C45">
        <v>71070</v>
      </c>
      <c r="D45">
        <v>76674</v>
      </c>
    </row>
    <row r="46" spans="1:4">
      <c r="A46" t="s">
        <v>47</v>
      </c>
      <c r="C46">
        <v>5548828</v>
      </c>
      <c r="D46">
        <v>6163924</v>
      </c>
    </row>
    <row r="47" spans="1:4">
      <c r="A47" t="s">
        <v>48</v>
      </c>
      <c r="C47">
        <v>13586</v>
      </c>
      <c r="D47">
        <v>13044</v>
      </c>
    </row>
    <row r="48" spans="1:4">
      <c r="A48" t="s">
        <v>49</v>
      </c>
      <c r="C48">
        <v>2078010</v>
      </c>
      <c r="D48">
        <v>2204944</v>
      </c>
    </row>
    <row r="49" spans="1:5">
      <c r="A49" t="s">
        <v>50</v>
      </c>
      <c r="C49">
        <v>-10282</v>
      </c>
      <c r="D49">
        <v>-7289</v>
      </c>
    </row>
    <row r="50" spans="1:5">
      <c r="A50" t="s">
        <v>51</v>
      </c>
      <c r="C50">
        <v>1574232</v>
      </c>
      <c r="D50">
        <v>619908</v>
      </c>
    </row>
    <row r="51" spans="1:5">
      <c r="A51" t="s">
        <v>52</v>
      </c>
      <c r="C51">
        <v>3655546</v>
      </c>
      <c r="D51">
        <v>2830607</v>
      </c>
    </row>
    <row r="52" spans="1:5">
      <c r="A52" t="s">
        <v>53</v>
      </c>
      <c r="C52">
        <v>9204374</v>
      </c>
      <c r="D52">
        <v>8994531</v>
      </c>
    </row>
    <row r="54" spans="1:5">
      <c r="A54" t="s">
        <v>54</v>
      </c>
      <c r="B54" t="s">
        <v>1</v>
      </c>
      <c r="C54" t="s">
        <v>2</v>
      </c>
      <c r="D54" t="s">
        <v>3</v>
      </c>
      <c r="E54" t="s">
        <v>216</v>
      </c>
    </row>
    <row r="55" spans="1:5">
      <c r="A55" t="s">
        <v>55</v>
      </c>
      <c r="B55">
        <v>1783477</v>
      </c>
      <c r="C55">
        <v>2105076</v>
      </c>
      <c r="D55">
        <v>2113926</v>
      </c>
    </row>
    <row r="56" spans="1:5">
      <c r="A56" t="s">
        <v>56</v>
      </c>
      <c r="B56">
        <v>-560731</v>
      </c>
      <c r="C56">
        <v>-593603</v>
      </c>
      <c r="D56">
        <v>-666336</v>
      </c>
    </row>
    <row r="57" spans="1:5">
      <c r="A57" t="s">
        <v>57</v>
      </c>
      <c r="B57">
        <v>319394</v>
      </c>
      <c r="C57">
        <v>335030</v>
      </c>
      <c r="D57">
        <v>361382</v>
      </c>
    </row>
    <row r="58" spans="1:5">
      <c r="A58" t="s">
        <v>58</v>
      </c>
      <c r="B58">
        <v>124016</v>
      </c>
      <c r="C58">
        <v>131730</v>
      </c>
      <c r="D58">
        <v>119543</v>
      </c>
    </row>
    <row r="59" spans="1:5">
      <c r="A59" t="s">
        <v>59</v>
      </c>
      <c r="B59">
        <v>-592349</v>
      </c>
      <c r="C59">
        <v>-1001559</v>
      </c>
      <c r="D59">
        <v>-2425516</v>
      </c>
    </row>
    <row r="61" spans="1:5">
      <c r="A61" t="s">
        <v>60</v>
      </c>
      <c r="B61" t="s">
        <v>1</v>
      </c>
      <c r="C61" t="s">
        <v>2</v>
      </c>
      <c r="D61" t="s">
        <v>3</v>
      </c>
      <c r="E61" t="s">
        <v>217</v>
      </c>
    </row>
    <row r="62" spans="1:5">
      <c r="A62" t="s">
        <v>61</v>
      </c>
      <c r="C62">
        <v>3437</v>
      </c>
      <c r="D62">
        <v>3726</v>
      </c>
    </row>
    <row r="63" spans="1:5">
      <c r="A63" t="s">
        <v>62</v>
      </c>
      <c r="C63">
        <v>304</v>
      </c>
      <c r="D63">
        <v>334</v>
      </c>
    </row>
    <row r="64" spans="1:5">
      <c r="A64" t="s">
        <v>63</v>
      </c>
      <c r="C64">
        <v>-15</v>
      </c>
      <c r="D64">
        <v>-18</v>
      </c>
    </row>
    <row r="65" spans="1:4">
      <c r="A65" t="s">
        <v>64</v>
      </c>
      <c r="B65">
        <v>3437</v>
      </c>
      <c r="C65">
        <v>3726</v>
      </c>
      <c r="D65">
        <v>4042</v>
      </c>
    </row>
    <row r="66" spans="1:4">
      <c r="A66" t="s">
        <v>65</v>
      </c>
      <c r="C66">
        <v>3.2130000000000001</v>
      </c>
      <c r="D66">
        <v>3.1040000000000001</v>
      </c>
    </row>
    <row r="67" spans="1:4">
      <c r="A67" t="s">
        <v>66</v>
      </c>
      <c r="B67">
        <v>7.9000000000000001E-2</v>
      </c>
      <c r="C67">
        <v>7.3999999999999996E-2</v>
      </c>
      <c r="D67">
        <v>-1.7000000000000001E-2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9653-5B40-4B71-BEF4-F374CA14528E}">
  <dimension ref="A1:K24"/>
  <sheetViews>
    <sheetView topLeftCell="A7" workbookViewId="0">
      <selection activeCell="K21" sqref="K21"/>
    </sheetView>
  </sheetViews>
  <sheetFormatPr defaultRowHeight="14.25"/>
  <cols>
    <col min="1" max="1" width="39.53125" bestFit="1" customWidth="1"/>
    <col min="2" max="2" width="8.86328125" bestFit="1" customWidth="1"/>
    <col min="3" max="3" width="8.19921875" bestFit="1" customWidth="1"/>
    <col min="4" max="4" width="8.796875" bestFit="1" customWidth="1"/>
    <col min="5" max="5" width="10.73046875" bestFit="1" customWidth="1"/>
    <col min="8" max="8" width="8.796875" bestFit="1" customWidth="1"/>
    <col min="9" max="9" width="10.73046875" bestFit="1" customWidth="1"/>
    <col min="10" max="10" width="11.265625" bestFit="1" customWidth="1"/>
  </cols>
  <sheetData>
    <row r="1" spans="1:11">
      <c r="A1" t="s">
        <v>105</v>
      </c>
    </row>
    <row r="2" spans="1:11">
      <c r="A2" t="s">
        <v>106</v>
      </c>
    </row>
    <row r="4" spans="1:11">
      <c r="A4" t="s">
        <v>107</v>
      </c>
      <c r="B4">
        <v>1</v>
      </c>
    </row>
    <row r="6" spans="1:11">
      <c r="A6" t="s">
        <v>108</v>
      </c>
      <c r="B6" t="s">
        <v>109</v>
      </c>
      <c r="C6" t="s">
        <v>110</v>
      </c>
      <c r="D6" t="s">
        <v>111</v>
      </c>
      <c r="E6" t="s">
        <v>112</v>
      </c>
      <c r="F6" t="s">
        <v>113</v>
      </c>
      <c r="G6" t="s">
        <v>114</v>
      </c>
      <c r="H6" t="s">
        <v>115</v>
      </c>
      <c r="I6" t="s">
        <v>116</v>
      </c>
      <c r="K6" t="s">
        <v>220</v>
      </c>
    </row>
    <row r="7" spans="1:11">
      <c r="A7" t="s">
        <v>117</v>
      </c>
      <c r="B7">
        <v>345</v>
      </c>
      <c r="C7">
        <v>380</v>
      </c>
      <c r="D7">
        <v>300</v>
      </c>
      <c r="E7">
        <f>CHOOSE($B$4,B7,C7,D7)</f>
        <v>345</v>
      </c>
      <c r="F7">
        <v>360</v>
      </c>
      <c r="G7">
        <v>400</v>
      </c>
      <c r="H7">
        <v>310</v>
      </c>
      <c r="I7">
        <f>CHOOSE($B$4,F7,G7,H7)</f>
        <v>360</v>
      </c>
      <c r="K7" s="10" t="s">
        <v>221</v>
      </c>
    </row>
    <row r="8" spans="1:11">
      <c r="A8" t="s">
        <v>118</v>
      </c>
      <c r="B8">
        <v>13</v>
      </c>
      <c r="C8">
        <v>10</v>
      </c>
      <c r="D8">
        <v>20</v>
      </c>
      <c r="E8">
        <f>CHOOSE($B$4,B8,C8,D8)</f>
        <v>13</v>
      </c>
      <c r="F8">
        <v>13</v>
      </c>
      <c r="G8">
        <v>10</v>
      </c>
      <c r="H8">
        <v>20</v>
      </c>
      <c r="I8">
        <f>CHOOSE($B$4,F8,G8,H8)</f>
        <v>13</v>
      </c>
    </row>
    <row r="9" spans="1:11">
      <c r="A9" t="s">
        <v>119</v>
      </c>
      <c r="B9">
        <v>0</v>
      </c>
      <c r="C9">
        <v>0.03</v>
      </c>
      <c r="D9">
        <v>-0.03</v>
      </c>
      <c r="E9">
        <f>CHOOSE($B$4,B9,C9,D9)</f>
        <v>0</v>
      </c>
      <c r="F9">
        <v>0.03</v>
      </c>
      <c r="G9">
        <v>0.05</v>
      </c>
      <c r="H9">
        <v>0</v>
      </c>
      <c r="I9">
        <f>CHOOSE($B$4,F9,G9,H9)</f>
        <v>0.03</v>
      </c>
      <c r="K9" s="10" t="s">
        <v>222</v>
      </c>
    </row>
    <row r="11" spans="1:11">
      <c r="A11" t="s">
        <v>120</v>
      </c>
      <c r="B11" t="s">
        <v>121</v>
      </c>
      <c r="C11" t="s">
        <v>122</v>
      </c>
      <c r="D11" t="s">
        <v>123</v>
      </c>
      <c r="E11" t="s">
        <v>124</v>
      </c>
    </row>
    <row r="12" spans="1:11">
      <c r="A12" t="s">
        <v>125</v>
      </c>
      <c r="B12">
        <v>0.29699999999999999</v>
      </c>
      <c r="C12">
        <v>0.29299999999999998</v>
      </c>
      <c r="D12">
        <v>0.30299999999999999</v>
      </c>
      <c r="E12">
        <f>CHOOSE($B$4,B12,C12,D12)</f>
        <v>0.29699999999999999</v>
      </c>
    </row>
    <row r="13" spans="1:11">
      <c r="A13" t="s">
        <v>126</v>
      </c>
      <c r="B13">
        <v>0.252</v>
      </c>
      <c r="C13">
        <v>0.248</v>
      </c>
      <c r="D13">
        <v>0.25800000000000001</v>
      </c>
      <c r="E13">
        <f t="shared" ref="E13:E24" si="0">CHOOSE($B$4,B13,C13,D13)</f>
        <v>0.252</v>
      </c>
    </row>
    <row r="14" spans="1:11">
      <c r="A14" t="s">
        <v>127</v>
      </c>
      <c r="B14">
        <v>5.2999999999999999E-2</v>
      </c>
      <c r="C14">
        <v>5.0999999999999997E-2</v>
      </c>
      <c r="D14">
        <v>5.6000000000000001E-2</v>
      </c>
      <c r="E14">
        <f t="shared" si="0"/>
        <v>5.2999999999999999E-2</v>
      </c>
    </row>
    <row r="15" spans="1:11">
      <c r="A15" t="s">
        <v>128</v>
      </c>
      <c r="B15">
        <v>0.14699999999999999</v>
      </c>
      <c r="C15">
        <v>0.14299999999999999</v>
      </c>
      <c r="D15">
        <v>0.152</v>
      </c>
      <c r="E15">
        <f t="shared" si="0"/>
        <v>0.14699999999999999</v>
      </c>
    </row>
    <row r="16" spans="1:11">
      <c r="A16" t="s">
        <v>129</v>
      </c>
      <c r="B16">
        <v>5.6000000000000001E-2</v>
      </c>
      <c r="C16">
        <v>5.2999999999999999E-2</v>
      </c>
      <c r="D16">
        <v>0.06</v>
      </c>
      <c r="E16">
        <f t="shared" si="0"/>
        <v>5.6000000000000001E-2</v>
      </c>
    </row>
    <row r="17" spans="1:11">
      <c r="A17" t="s">
        <v>130</v>
      </c>
      <c r="B17">
        <v>0.03</v>
      </c>
      <c r="C17">
        <v>0.03</v>
      </c>
      <c r="D17">
        <v>0.03</v>
      </c>
      <c r="E17">
        <f t="shared" si="0"/>
        <v>0.03</v>
      </c>
    </row>
    <row r="18" spans="1:11">
      <c r="A18" t="s">
        <v>131</v>
      </c>
      <c r="B18">
        <v>145</v>
      </c>
      <c r="C18">
        <v>140</v>
      </c>
      <c r="D18">
        <v>150</v>
      </c>
      <c r="E18">
        <f t="shared" si="0"/>
        <v>145</v>
      </c>
    </row>
    <row r="19" spans="1:11">
      <c r="A19" t="s">
        <v>132</v>
      </c>
      <c r="B19">
        <v>28000</v>
      </c>
      <c r="C19">
        <v>24000</v>
      </c>
      <c r="D19">
        <v>34000</v>
      </c>
      <c r="E19">
        <f t="shared" si="0"/>
        <v>28000</v>
      </c>
    </row>
    <row r="20" spans="1:11">
      <c r="A20" t="s">
        <v>133</v>
      </c>
      <c r="B20">
        <v>3.5000000000000003E-2</v>
      </c>
      <c r="C20">
        <v>3.7999999999999999E-2</v>
      </c>
      <c r="D20">
        <v>0.03</v>
      </c>
      <c r="E20">
        <f t="shared" si="0"/>
        <v>3.5000000000000003E-2</v>
      </c>
    </row>
    <row r="21" spans="1:11">
      <c r="A21" t="s">
        <v>134</v>
      </c>
      <c r="B21">
        <v>0.25</v>
      </c>
      <c r="C21">
        <v>0.248</v>
      </c>
      <c r="D21">
        <v>0.253</v>
      </c>
      <c r="E21">
        <f t="shared" si="0"/>
        <v>0.25</v>
      </c>
      <c r="K21" t="s">
        <v>223</v>
      </c>
    </row>
    <row r="22" spans="1:11">
      <c r="A22" t="s">
        <v>135</v>
      </c>
      <c r="B22">
        <v>1500</v>
      </c>
      <c r="C22">
        <v>1500</v>
      </c>
      <c r="D22">
        <v>1550</v>
      </c>
      <c r="E22">
        <f t="shared" si="0"/>
        <v>1500</v>
      </c>
    </row>
    <row r="23" spans="1:11">
      <c r="A23" t="s">
        <v>136</v>
      </c>
      <c r="B23">
        <v>290000</v>
      </c>
      <c r="C23">
        <v>300000</v>
      </c>
      <c r="D23">
        <v>270000</v>
      </c>
      <c r="E23">
        <f t="shared" si="0"/>
        <v>290000</v>
      </c>
    </row>
    <row r="24" spans="1:11">
      <c r="A24" t="s">
        <v>137</v>
      </c>
      <c r="B24">
        <v>1300000</v>
      </c>
      <c r="C24">
        <v>1500000</v>
      </c>
      <c r="D24">
        <v>1000000</v>
      </c>
      <c r="E24">
        <f t="shared" si="0"/>
        <v>1300000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4330-AAE2-4228-BFA1-4A928AB0E573}">
  <dimension ref="A1:G90"/>
  <sheetViews>
    <sheetView topLeftCell="A10" zoomScale="70" zoomScaleNormal="70" workbookViewId="0">
      <selection activeCell="G26" sqref="G26"/>
    </sheetView>
  </sheetViews>
  <sheetFormatPr defaultRowHeight="14.25"/>
  <cols>
    <col min="1" max="1" width="68.73046875" bestFit="1" customWidth="1"/>
    <col min="5" max="5" width="9.73046875" bestFit="1" customWidth="1"/>
    <col min="6" max="6" width="11.73046875" bestFit="1" customWidth="1"/>
    <col min="7" max="7" width="12.9296875" bestFit="1" customWidth="1"/>
  </cols>
  <sheetData>
    <row r="1" spans="1:7">
      <c r="A1" t="s">
        <v>138</v>
      </c>
    </row>
    <row r="3" spans="1:7">
      <c r="C3" t="s">
        <v>1</v>
      </c>
      <c r="D3" t="s">
        <v>2</v>
      </c>
      <c r="E3" t="s">
        <v>3</v>
      </c>
      <c r="F3" t="s">
        <v>139</v>
      </c>
      <c r="G3" t="s">
        <v>140</v>
      </c>
    </row>
    <row r="5" spans="1:7">
      <c r="A5" t="s">
        <v>141</v>
      </c>
    </row>
    <row r="6" spans="1:7">
      <c r="A6" t="s">
        <v>61</v>
      </c>
      <c r="D6" s="10">
        <f>'Historicals '!C62</f>
        <v>3437</v>
      </c>
      <c r="E6">
        <f>'Historicals '!D62</f>
        <v>3726</v>
      </c>
      <c r="F6" s="10">
        <f>E9</f>
        <v>4042</v>
      </c>
      <c r="G6">
        <f>F9</f>
        <v>4374</v>
      </c>
    </row>
    <row r="7" spans="1:7">
      <c r="A7" t="s">
        <v>142</v>
      </c>
      <c r="D7">
        <f>'Historicals '!C63</f>
        <v>304</v>
      </c>
      <c r="E7">
        <f>'Historicals '!D63</f>
        <v>334</v>
      </c>
      <c r="F7">
        <f>Assumptions!E7</f>
        <v>345</v>
      </c>
      <c r="G7" s="10">
        <f>Assumptions!I7</f>
        <v>360</v>
      </c>
    </row>
    <row r="8" spans="1:7">
      <c r="A8" t="s">
        <v>143</v>
      </c>
      <c r="D8">
        <f>'Historicals '!C64</f>
        <v>-15</v>
      </c>
      <c r="E8">
        <f>'Historicals '!D64</f>
        <v>-18</v>
      </c>
      <c r="F8">
        <f>-Assumptions!E8</f>
        <v>-13</v>
      </c>
      <c r="G8">
        <f>-Assumptions!I8</f>
        <v>-13</v>
      </c>
    </row>
    <row r="9" spans="1:7">
      <c r="A9" t="s">
        <v>64</v>
      </c>
      <c r="C9">
        <f>'Historicals '!B65</f>
        <v>3437</v>
      </c>
      <c r="D9" s="10">
        <f>D6+D7+D8</f>
        <v>3726</v>
      </c>
      <c r="E9">
        <f>E6+E7+E8</f>
        <v>4042</v>
      </c>
      <c r="F9">
        <f>F6+F7+F8</f>
        <v>4374</v>
      </c>
      <c r="G9">
        <f>G6+G7+G8</f>
        <v>4721</v>
      </c>
    </row>
    <row r="10" spans="1:7">
      <c r="A10" t="s">
        <v>144</v>
      </c>
      <c r="D10">
        <f>AVERAGE(C9,D9)</f>
        <v>3581.5</v>
      </c>
      <c r="E10">
        <f>AVERAGE(D9,E9)</f>
        <v>3884</v>
      </c>
      <c r="F10">
        <f>AVERAGE(E9,F9)</f>
        <v>4208</v>
      </c>
      <c r="G10">
        <f>AVERAGE(F9,G9)</f>
        <v>4547.5</v>
      </c>
    </row>
    <row r="11" spans="1:7">
      <c r="A11" t="s">
        <v>145</v>
      </c>
      <c r="D11">
        <f>'Historicals '!C5/D10</f>
        <v>3158.9705430685467</v>
      </c>
      <c r="E11">
        <f>'Historicals '!D5/E10</f>
        <v>3070.4430998970133</v>
      </c>
      <c r="F11">
        <f>E11*(1+F12)</f>
        <v>3070.4430998970133</v>
      </c>
      <c r="G11">
        <f>F11*(1+G12)</f>
        <v>3162.5563928939237</v>
      </c>
    </row>
    <row r="12" spans="1:7">
      <c r="A12" t="s">
        <v>119</v>
      </c>
      <c r="C12">
        <f>'Historicals '!B67</f>
        <v>7.9000000000000001E-2</v>
      </c>
      <c r="D12">
        <f>'Historicals '!C67</f>
        <v>7.3999999999999996E-2</v>
      </c>
      <c r="E12">
        <f>'Historicals '!D67</f>
        <v>-1.7000000000000001E-2</v>
      </c>
      <c r="F12">
        <f>Assumptions!E9</f>
        <v>0</v>
      </c>
      <c r="G12">
        <f>Assumptions!I9</f>
        <v>0.03</v>
      </c>
    </row>
    <row r="13" spans="1:7">
      <c r="A13" t="s">
        <v>146</v>
      </c>
      <c r="C13">
        <f>'Historicals '!B5</f>
        <v>9871649</v>
      </c>
      <c r="D13">
        <f>'Historicals '!C5</f>
        <v>11313853</v>
      </c>
      <c r="E13" s="10">
        <f>'Historicals '!D5</f>
        <v>11925601</v>
      </c>
      <c r="F13" s="10">
        <f>F10*F11</f>
        <v>12920424.564366631</v>
      </c>
      <c r="G13">
        <f>G10*G11</f>
        <v>14381725.196685119</v>
      </c>
    </row>
    <row r="14" spans="1:7">
      <c r="A14" s="11" t="s">
        <v>147</v>
      </c>
    </row>
    <row r="15" spans="1:7">
      <c r="A15" t="s">
        <v>148</v>
      </c>
      <c r="C15">
        <f>'Historicals '!B6</f>
        <v>2912564</v>
      </c>
      <c r="D15">
        <f>'Historicals '!C6</f>
        <v>3374516</v>
      </c>
      <c r="E15">
        <f>'Historicals '!D6</f>
        <v>3526992</v>
      </c>
      <c r="F15" s="12">
        <f>F$13*Assumptions!$E$12</f>
        <v>3837366.0956168892</v>
      </c>
      <c r="G15">
        <f>G$13*Assumptions!$E$12</f>
        <v>4271372.3834154801</v>
      </c>
    </row>
    <row r="16" spans="1:7">
      <c r="A16" t="s">
        <v>149</v>
      </c>
      <c r="C16">
        <f>'Historicals '!B7</f>
        <v>2440982</v>
      </c>
      <c r="D16">
        <f>'Historicals '!C7</f>
        <v>2789789</v>
      </c>
      <c r="E16">
        <f>'Historicals '!D7</f>
        <v>2991680</v>
      </c>
      <c r="F16" s="12">
        <f>F$13*Assumptions!$E$13</f>
        <v>3255946.9902203912</v>
      </c>
      <c r="G16" s="10">
        <f>G$13*Assumptions!$E$13</f>
        <v>3624194.74956465</v>
      </c>
    </row>
    <row r="17" spans="1:7">
      <c r="A17" t="s">
        <v>10</v>
      </c>
      <c r="C17">
        <f>'Historicals '!B8</f>
        <v>503264</v>
      </c>
      <c r="D17">
        <f>'Historicals '!C8</f>
        <v>563374</v>
      </c>
      <c r="E17">
        <f>'Historicals '!D8</f>
        <v>624898</v>
      </c>
      <c r="F17" s="12">
        <f>F$13*Assumptions!$E$14</f>
        <v>684782.50191143143</v>
      </c>
      <c r="G17">
        <f>G$13*Assumptions!$E$14</f>
        <v>762231.43542431132</v>
      </c>
    </row>
    <row r="18" spans="1:7">
      <c r="A18" t="s">
        <v>11</v>
      </c>
      <c r="C18">
        <f>'Historicals '!B9</f>
        <v>1428747</v>
      </c>
      <c r="D18">
        <f>'Historicals '!C9</f>
        <v>1568482</v>
      </c>
      <c r="E18">
        <f>'Historicals '!D9</f>
        <v>1755824</v>
      </c>
      <c r="F18" s="12">
        <f>F$13*Assumptions!$E$15</f>
        <v>1899302.4109618948</v>
      </c>
      <c r="G18" s="10">
        <f>G$13*Assumptions!$E$15</f>
        <v>2114113.6039127125</v>
      </c>
    </row>
    <row r="19" spans="1:7">
      <c r="A19" t="s">
        <v>150</v>
      </c>
      <c r="C19">
        <f>'Historicals '!B10</f>
        <v>633584</v>
      </c>
      <c r="D19">
        <f>'Historicals '!C10</f>
        <v>697483</v>
      </c>
      <c r="E19">
        <f>'Historicals '!D10</f>
        <v>652017</v>
      </c>
      <c r="F19" s="12">
        <f>F$13*Assumptions!$E$16</f>
        <v>723543.7756045314</v>
      </c>
      <c r="G19" s="10">
        <f>G$13*Assumptions!$E$16</f>
        <v>805376.61101436662</v>
      </c>
    </row>
    <row r="20" spans="1:7">
      <c r="A20" t="s">
        <v>151</v>
      </c>
      <c r="C20">
        <f>'Historicals '!B11</f>
        <v>319394</v>
      </c>
      <c r="D20">
        <f>'Historicals '!C11</f>
        <v>335030</v>
      </c>
      <c r="E20">
        <f>'Historicals '!D11</f>
        <v>361382</v>
      </c>
      <c r="F20" s="12">
        <f>F$13*Assumptions!$E$17</f>
        <v>387612.73693099892</v>
      </c>
      <c r="G20">
        <f>G$13*Assumptions!$E$17</f>
        <v>431451.75590055354</v>
      </c>
    </row>
    <row r="21" spans="1:7">
      <c r="A21" t="s">
        <v>152</v>
      </c>
      <c r="C21">
        <f>'Historicals '!B12</f>
        <v>36931</v>
      </c>
      <c r="D21">
        <f>'Historicals '!C12</f>
        <v>41897</v>
      </c>
      <c r="E21">
        <f>'Historicals '!D12</f>
        <v>49507</v>
      </c>
      <c r="F21" s="12">
        <f>F$7*Assumptions!$E$18</f>
        <v>50025</v>
      </c>
      <c r="G21">
        <f>G$7*Assumptions!$E$18</f>
        <v>52200</v>
      </c>
    </row>
    <row r="22" spans="1:7">
      <c r="A22" t="s">
        <v>15</v>
      </c>
      <c r="C22">
        <f>'Historicals '!B13</f>
        <v>38370</v>
      </c>
      <c r="D22">
        <f>'Historicals '!C13</f>
        <v>26949</v>
      </c>
      <c r="E22">
        <f>'Historicals '!D13</f>
        <v>27503</v>
      </c>
      <c r="F22" s="12">
        <f>Assumptions!$E$19</f>
        <v>28000</v>
      </c>
      <c r="G22" s="10">
        <f>Assumptions!$E$19</f>
        <v>28000</v>
      </c>
    </row>
    <row r="23" spans="1:7">
      <c r="A23" t="s">
        <v>16</v>
      </c>
      <c r="C23">
        <f>SUM(C15:C22)</f>
        <v>8313836</v>
      </c>
      <c r="D23">
        <f t="shared" ref="D23:G23" si="0">SUM(D15:D22)</f>
        <v>9397520</v>
      </c>
      <c r="E23">
        <f t="shared" si="0"/>
        <v>9989803</v>
      </c>
      <c r="F23" s="12">
        <f>SUM(F15:F22)</f>
        <v>10866579.511246135</v>
      </c>
      <c r="G23">
        <f t="shared" si="0"/>
        <v>12088940.539232075</v>
      </c>
    </row>
    <row r="24" spans="1:7">
      <c r="A24" t="s">
        <v>17</v>
      </c>
      <c r="C24">
        <f>C13-C23</f>
        <v>1557813</v>
      </c>
      <c r="D24">
        <f t="shared" ref="D24:G24" si="1">D13-D23</f>
        <v>1916333</v>
      </c>
      <c r="E24">
        <f t="shared" si="1"/>
        <v>1935798</v>
      </c>
      <c r="F24">
        <f t="shared" si="1"/>
        <v>2053845.0531204958</v>
      </c>
      <c r="G24">
        <f t="shared" si="1"/>
        <v>2292784.6574530434</v>
      </c>
    </row>
    <row r="25" spans="1:7">
      <c r="A25" t="s">
        <v>18</v>
      </c>
      <c r="C25">
        <f>'Historicals '!B16</f>
        <v>62693</v>
      </c>
      <c r="D25">
        <f>'Historicals '!C16</f>
        <v>93897</v>
      </c>
      <c r="E25">
        <f>'Historicals '!D16</f>
        <v>73721</v>
      </c>
      <c r="F25">
        <f>Assumptions!$E$20*(E57+E62+E65)</f>
        <v>43619.065000000002</v>
      </c>
      <c r="G25">
        <f>Assumptions!$E$20*(F57+F62+F65)</f>
        <v>44298.531519406577</v>
      </c>
    </row>
    <row r="26" spans="1:7">
      <c r="A26" t="s">
        <v>19</v>
      </c>
      <c r="C26">
        <f>C24+C25</f>
        <v>1620506</v>
      </c>
      <c r="D26">
        <f t="shared" ref="D26:G26" si="2">D24+D25</f>
        <v>2010230</v>
      </c>
      <c r="E26">
        <f t="shared" si="2"/>
        <v>2009519</v>
      </c>
      <c r="F26">
        <f t="shared" si="2"/>
        <v>2097464.1181204957</v>
      </c>
      <c r="G26">
        <f t="shared" si="2"/>
        <v>2337083.1889724499</v>
      </c>
    </row>
    <row r="27" spans="1:7">
      <c r="A27" t="s">
        <v>20</v>
      </c>
      <c r="C27">
        <f>'Historicals '!B18</f>
        <v>391769</v>
      </c>
      <c r="D27">
        <f>'Historicals '!C18</f>
        <v>476120</v>
      </c>
      <c r="E27">
        <f>'Historicals '!D18</f>
        <v>473758</v>
      </c>
      <c r="F27">
        <f>F26*Assumptions!$E$21</f>
        <v>524366.02953012392</v>
      </c>
      <c r="G27">
        <f>G26*Assumptions!$E$21</f>
        <v>584270.79724311247</v>
      </c>
    </row>
    <row r="28" spans="1:7">
      <c r="A28" t="s">
        <v>153</v>
      </c>
      <c r="C28">
        <f>C26-C27</f>
        <v>1228737</v>
      </c>
      <c r="D28">
        <f t="shared" ref="D28:G28" si="3">D26-D27</f>
        <v>1534110</v>
      </c>
      <c r="E28">
        <f t="shared" si="3"/>
        <v>1535761</v>
      </c>
      <c r="F28">
        <f t="shared" si="3"/>
        <v>1573098.0885903719</v>
      </c>
      <c r="G28">
        <f t="shared" si="3"/>
        <v>1752812.3917293374</v>
      </c>
    </row>
    <row r="30" spans="1:7">
      <c r="A30" t="s">
        <v>154</v>
      </c>
    </row>
    <row r="31" spans="1:7">
      <c r="A31" t="s">
        <v>21</v>
      </c>
      <c r="C31">
        <f>C28</f>
        <v>1228737</v>
      </c>
      <c r="D31">
        <f>D28</f>
        <v>1534110</v>
      </c>
      <c r="E31">
        <f>E28</f>
        <v>1535761</v>
      </c>
      <c r="F31" s="12">
        <f>F28</f>
        <v>1573098.0885903719</v>
      </c>
      <c r="G31">
        <f>G28</f>
        <v>1752812.3917293374</v>
      </c>
    </row>
    <row r="32" spans="1:7">
      <c r="A32" t="s">
        <v>155</v>
      </c>
      <c r="C32">
        <f>'Historicals '!B57</f>
        <v>319394</v>
      </c>
      <c r="D32">
        <f>'Historicals '!C57</f>
        <v>335030</v>
      </c>
      <c r="E32">
        <f>'Historicals '!D57</f>
        <v>361382</v>
      </c>
      <c r="F32" s="13">
        <f>F20</f>
        <v>387612.73693099892</v>
      </c>
      <c r="G32">
        <f>G20</f>
        <v>431451.75590055354</v>
      </c>
    </row>
    <row r="33" spans="1:7">
      <c r="A33" t="s">
        <v>156</v>
      </c>
      <c r="C33">
        <f>'Historicals '!B58</f>
        <v>124016</v>
      </c>
      <c r="D33">
        <f>'Historicals '!C58</f>
        <v>131730</v>
      </c>
      <c r="E33">
        <f>'Historicals '!D58</f>
        <v>119543</v>
      </c>
      <c r="F33" s="10">
        <f>E33</f>
        <v>119543</v>
      </c>
      <c r="G33">
        <f>E33</f>
        <v>119543</v>
      </c>
    </row>
    <row r="34" spans="1:7">
      <c r="A34" t="s">
        <v>157</v>
      </c>
    </row>
    <row r="35" spans="1:7">
      <c r="A35" t="s">
        <v>158</v>
      </c>
      <c r="F35" s="12">
        <f t="shared" ref="F35:G38" si="4">-(F58-E58)</f>
        <v>-13052.261585993809</v>
      </c>
      <c r="G35" s="12">
        <f t="shared" si="4"/>
        <v>-19172.523442327511</v>
      </c>
    </row>
    <row r="36" spans="1:7">
      <c r="A36" t="s">
        <v>26</v>
      </c>
      <c r="F36" s="12">
        <f t="shared" si="4"/>
        <v>-4129.9155509783668</v>
      </c>
      <c r="G36" s="12">
        <f t="shared" si="4"/>
        <v>-6066.4507981462521</v>
      </c>
    </row>
    <row r="37" spans="1:7">
      <c r="A37" t="s">
        <v>159</v>
      </c>
      <c r="F37" s="12">
        <f t="shared" si="4"/>
        <v>-10047.83728115345</v>
      </c>
      <c r="G37" s="12">
        <f t="shared" si="4"/>
        <v>-14759.311598867149</v>
      </c>
    </row>
    <row r="38" spans="1:7">
      <c r="A38" t="s">
        <v>28</v>
      </c>
      <c r="F38" s="12">
        <f t="shared" si="4"/>
        <v>0</v>
      </c>
      <c r="G38" s="12">
        <f t="shared" si="4"/>
        <v>0</v>
      </c>
    </row>
    <row r="39" spans="1:7">
      <c r="A39" t="s">
        <v>38</v>
      </c>
      <c r="F39" s="12">
        <f t="shared" ref="F39:G42" si="5">F72-E72</f>
        <v>17752.680741503602</v>
      </c>
      <c r="G39" s="12">
        <f t="shared" si="5"/>
        <v>26076.989450308989</v>
      </c>
    </row>
    <row r="40" spans="1:7">
      <c r="A40" t="s">
        <v>160</v>
      </c>
      <c r="F40" s="13">
        <f t="shared" si="5"/>
        <v>20865.299691040127</v>
      </c>
      <c r="G40" s="12">
        <f t="shared" si="5"/>
        <v>30649.128874871298</v>
      </c>
    </row>
    <row r="41" spans="1:7">
      <c r="A41" t="s">
        <v>40</v>
      </c>
      <c r="F41" s="12">
        <f t="shared" si="5"/>
        <v>15219.658084449009</v>
      </c>
      <c r="G41" s="12">
        <f t="shared" si="5"/>
        <v>22356.221524201857</v>
      </c>
    </row>
    <row r="42" spans="1:7">
      <c r="A42" t="s">
        <v>41</v>
      </c>
      <c r="F42" s="12">
        <f t="shared" si="5"/>
        <v>20051.879505664227</v>
      </c>
      <c r="G42" s="12">
        <f t="shared" si="5"/>
        <v>29454.292449794069</v>
      </c>
    </row>
    <row r="43" spans="1:7">
      <c r="A43" t="s">
        <v>161</v>
      </c>
    </row>
    <row r="44" spans="1:7">
      <c r="A44" t="s">
        <v>162</v>
      </c>
      <c r="C44">
        <f>'Historicals '!B55</f>
        <v>1783477</v>
      </c>
      <c r="D44">
        <f>'Historicals '!C55</f>
        <v>2105076</v>
      </c>
      <c r="E44">
        <f>'Historicals '!D55</f>
        <v>2113926</v>
      </c>
      <c r="F44" s="12">
        <f>SUM(F31:F43)</f>
        <v>2126913.3291259021</v>
      </c>
      <c r="G44">
        <f>SUM(G31:G43)</f>
        <v>2372345.4940897264</v>
      </c>
    </row>
    <row r="46" spans="1:7">
      <c r="A46" t="s">
        <v>56</v>
      </c>
      <c r="C46">
        <f>'Historicals '!B56</f>
        <v>-560731</v>
      </c>
      <c r="D46">
        <f>'Historicals '!C56</f>
        <v>-593603</v>
      </c>
      <c r="E46">
        <f>'Historicals '!D56</f>
        <v>-666336</v>
      </c>
      <c r="F46">
        <f>-(F7*Assumptions!$E$22+Assumptions!$E$23)</f>
        <v>-807500</v>
      </c>
      <c r="G46">
        <f>-(G7*Assumptions!$E$22+Assumptions!$E$23)</f>
        <v>-830000</v>
      </c>
    </row>
    <row r="47" spans="1:7">
      <c r="A47" t="s">
        <v>163</v>
      </c>
      <c r="C47" s="10">
        <f>C46</f>
        <v>-560731</v>
      </c>
      <c r="D47">
        <f>D46</f>
        <v>-593603</v>
      </c>
      <c r="E47">
        <f>E46</f>
        <v>-666336</v>
      </c>
      <c r="F47">
        <f>F46</f>
        <v>-807500</v>
      </c>
      <c r="G47">
        <f>G46</f>
        <v>-830000</v>
      </c>
    </row>
    <row r="49" spans="1:7">
      <c r="A49" t="s">
        <v>164</v>
      </c>
      <c r="C49">
        <f>'Historicals '!B59</f>
        <v>-592349</v>
      </c>
      <c r="D49">
        <f>'Historicals '!C59</f>
        <v>-1001559</v>
      </c>
      <c r="E49">
        <f>'Historicals '!D59</f>
        <v>-2425516</v>
      </c>
      <c r="F49">
        <f>-Assumptions!$E$24</f>
        <v>-1300000</v>
      </c>
      <c r="G49">
        <f>-Assumptions!$E$24</f>
        <v>-1300000</v>
      </c>
    </row>
    <row r="50" spans="1:7">
      <c r="A50" t="s">
        <v>165</v>
      </c>
      <c r="C50">
        <f>C49</f>
        <v>-592349</v>
      </c>
      <c r="D50">
        <f>D49</f>
        <v>-1001559</v>
      </c>
      <c r="E50">
        <f>E49</f>
        <v>-2425516</v>
      </c>
      <c r="F50">
        <f>F49</f>
        <v>-1300000</v>
      </c>
      <c r="G50">
        <f>G49</f>
        <v>-1300000</v>
      </c>
    </row>
    <row r="52" spans="1:7">
      <c r="A52" t="s">
        <v>166</v>
      </c>
      <c r="F52" s="12">
        <f>F44+F47+F50</f>
        <v>19413.32912590215</v>
      </c>
      <c r="G52">
        <f>G44+G47+G50</f>
        <v>242345.49408972636</v>
      </c>
    </row>
    <row r="53" spans="1:7">
      <c r="A53" t="s">
        <v>167</v>
      </c>
      <c r="F53">
        <f>'Historicals '!D23</f>
        <v>350545</v>
      </c>
      <c r="G53" s="12">
        <f>F54</f>
        <v>369958.32912590215</v>
      </c>
    </row>
    <row r="54" spans="1:7">
      <c r="A54" t="s">
        <v>168</v>
      </c>
      <c r="E54" s="10"/>
      <c r="F54" s="12">
        <f>F52+F53</f>
        <v>369958.32912590215</v>
      </c>
      <c r="G54" s="12">
        <f>G52+G53</f>
        <v>612303.82321562851</v>
      </c>
    </row>
    <row r="55" spans="1:7">
      <c r="A55" t="s">
        <v>213</v>
      </c>
    </row>
    <row r="56" spans="1:7">
      <c r="A56" t="s">
        <v>23</v>
      </c>
    </row>
    <row r="57" spans="1:7">
      <c r="A57" t="s">
        <v>24</v>
      </c>
      <c r="D57">
        <f>'Historicals '!C23</f>
        <v>748537</v>
      </c>
      <c r="E57">
        <f>'Historicals '!D23</f>
        <v>350545</v>
      </c>
      <c r="F57" s="12">
        <f>F54</f>
        <v>369958.32912590215</v>
      </c>
      <c r="G57" s="12">
        <f>G54</f>
        <v>612303.82321562851</v>
      </c>
    </row>
    <row r="58" spans="1:7">
      <c r="A58" t="s">
        <v>158</v>
      </c>
      <c r="D58">
        <f>'Historicals '!C24</f>
        <v>143963</v>
      </c>
      <c r="E58">
        <f>'Historicals '!D24</f>
        <v>156466</v>
      </c>
      <c r="F58">
        <f>F$13*(E58/E$13)</f>
        <v>169518.26158599381</v>
      </c>
      <c r="G58">
        <f>G$13*(E58/E$13)</f>
        <v>188690.78502832132</v>
      </c>
    </row>
    <row r="59" spans="1:7">
      <c r="A59" t="s">
        <v>26</v>
      </c>
      <c r="D59">
        <f>'Historicals '!C25</f>
        <v>48942</v>
      </c>
      <c r="E59">
        <f>'Historicals '!D25</f>
        <v>49508</v>
      </c>
      <c r="F59">
        <f>F$13*(E59/E$13)</f>
        <v>53637.915550978367</v>
      </c>
      <c r="G59">
        <f>G$13*(E59/E$13)</f>
        <v>59704.366349124619</v>
      </c>
    </row>
    <row r="60" spans="1:7">
      <c r="A60" t="s">
        <v>27</v>
      </c>
      <c r="D60">
        <f>'Historicals '!C26</f>
        <v>97538</v>
      </c>
      <c r="E60">
        <f>'Historicals '!D26</f>
        <v>120450</v>
      </c>
      <c r="F60">
        <f>F$13*(E60/E$13)</f>
        <v>130497.83728115345</v>
      </c>
      <c r="G60">
        <f>G$13*(E60/E$13)</f>
        <v>145257.1488800206</v>
      </c>
    </row>
    <row r="61" spans="1:7">
      <c r="A61" t="s">
        <v>28</v>
      </c>
      <c r="D61">
        <f>'Historicals '!C27</f>
        <v>67229</v>
      </c>
      <c r="E61">
        <f>'Historicals '!D27</f>
        <v>91393</v>
      </c>
      <c r="F61">
        <f>E61</f>
        <v>91393</v>
      </c>
      <c r="G61">
        <f>F61</f>
        <v>91393</v>
      </c>
    </row>
    <row r="62" spans="1:7">
      <c r="A62" t="s">
        <v>29</v>
      </c>
      <c r="D62">
        <f>'Historicals '!C28</f>
        <v>674378</v>
      </c>
      <c r="E62">
        <f>'Historicals '!D28</f>
        <v>698591</v>
      </c>
      <c r="F62">
        <f>E62</f>
        <v>698591</v>
      </c>
      <c r="G62">
        <f>F62</f>
        <v>698591</v>
      </c>
    </row>
    <row r="63" spans="1:7">
      <c r="A63" t="s">
        <v>30</v>
      </c>
      <c r="D63">
        <f>SUM(D57:D62)</f>
        <v>1780587</v>
      </c>
      <c r="E63">
        <f>SUM(E57:E62)</f>
        <v>1466953</v>
      </c>
      <c r="F63" s="12">
        <f>SUM(F57:F62)</f>
        <v>1513596.3435440278</v>
      </c>
      <c r="G63" s="12">
        <f>SUM(G57:G62)</f>
        <v>1795940.123473095</v>
      </c>
    </row>
    <row r="64" spans="1:7">
      <c r="A64" t="s">
        <v>169</v>
      </c>
      <c r="D64">
        <f>'Historicals '!C30</f>
        <v>2390126</v>
      </c>
      <c r="E64">
        <f>'Historicals '!D30</f>
        <v>2679361</v>
      </c>
      <c r="F64" s="12">
        <f>E64-F46-F20</f>
        <v>3099248.263069001</v>
      </c>
      <c r="G64" s="12">
        <f>F64-G46-G20</f>
        <v>3497796.5071684476</v>
      </c>
    </row>
    <row r="65" spans="1:7">
      <c r="A65" t="s">
        <v>32</v>
      </c>
      <c r="D65">
        <f>'Historicals '!C31</f>
        <v>868025</v>
      </c>
      <c r="E65">
        <f>'Historicals '!D31</f>
        <v>197123</v>
      </c>
      <c r="F65">
        <f t="shared" ref="F65:G69" si="6">E65</f>
        <v>197123</v>
      </c>
      <c r="G65">
        <f t="shared" si="6"/>
        <v>197123</v>
      </c>
    </row>
    <row r="66" spans="1:7">
      <c r="A66" t="s">
        <v>33</v>
      </c>
      <c r="D66">
        <f>'Historicals '!C32</f>
        <v>29842</v>
      </c>
      <c r="E66">
        <f>'Historicals '!D32</f>
        <v>35364</v>
      </c>
      <c r="F66">
        <f t="shared" si="6"/>
        <v>35364</v>
      </c>
      <c r="G66">
        <f t="shared" si="6"/>
        <v>35364</v>
      </c>
    </row>
    <row r="67" spans="1:7">
      <c r="A67" t="s">
        <v>34</v>
      </c>
      <c r="D67">
        <f>'Historicals '!C33</f>
        <v>4000127</v>
      </c>
      <c r="E67">
        <f>'Historicals '!D33</f>
        <v>4463010</v>
      </c>
      <c r="F67">
        <f t="shared" si="6"/>
        <v>4463010</v>
      </c>
      <c r="G67">
        <f t="shared" si="6"/>
        <v>4463010</v>
      </c>
    </row>
    <row r="68" spans="1:7">
      <c r="A68" t="s">
        <v>35</v>
      </c>
      <c r="D68">
        <f>'Historicals '!C34</f>
        <v>113728</v>
      </c>
      <c r="E68">
        <f>'Historicals '!D34</f>
        <v>130781</v>
      </c>
      <c r="F68">
        <f t="shared" si="6"/>
        <v>130781</v>
      </c>
      <c r="G68">
        <f t="shared" si="6"/>
        <v>130781</v>
      </c>
    </row>
    <row r="69" spans="1:7">
      <c r="A69" t="s">
        <v>36</v>
      </c>
      <c r="D69">
        <f>'Historicals '!C35</f>
        <v>21939</v>
      </c>
      <c r="E69">
        <f>'Historicals '!D35</f>
        <v>21939</v>
      </c>
      <c r="F69">
        <f t="shared" si="6"/>
        <v>21939</v>
      </c>
      <c r="G69">
        <f t="shared" si="6"/>
        <v>21939</v>
      </c>
    </row>
    <row r="70" spans="1:7">
      <c r="A70" t="s">
        <v>37</v>
      </c>
      <c r="D70">
        <f>D63+SUM(D64:D69)</f>
        <v>9204374</v>
      </c>
      <c r="E70">
        <f>E63+SUM(E64:E69)</f>
        <v>8994531</v>
      </c>
      <c r="F70" s="12">
        <f>F63+SUM(F64:F69)</f>
        <v>9461061.6066130288</v>
      </c>
      <c r="G70" s="12">
        <f>G63+SUM(G64:G69)</f>
        <v>10141953.630641542</v>
      </c>
    </row>
    <row r="72" spans="1:7">
      <c r="A72" t="s">
        <v>38</v>
      </c>
      <c r="D72">
        <f>'Historicals '!C37</f>
        <v>210695</v>
      </c>
      <c r="E72">
        <f>'Historicals '!D37</f>
        <v>212813</v>
      </c>
      <c r="F72">
        <f>F$13*(E72/E$13)</f>
        <v>230565.6807415036</v>
      </c>
      <c r="G72">
        <f>G$13*(E72/E$13)</f>
        <v>256642.67019181259</v>
      </c>
    </row>
    <row r="73" spans="1:7">
      <c r="A73" t="s">
        <v>39</v>
      </c>
      <c r="D73">
        <f>'Historicals '!C38</f>
        <v>261913</v>
      </c>
      <c r="E73">
        <f>'Historicals '!D38</f>
        <v>250126</v>
      </c>
      <c r="F73">
        <f>F$13*(E73/E$13)</f>
        <v>270991.29969104013</v>
      </c>
      <c r="G73">
        <f>G$13*(E73/E$13)</f>
        <v>301640.42856591142</v>
      </c>
    </row>
    <row r="74" spans="1:7">
      <c r="A74" t="s">
        <v>40</v>
      </c>
      <c r="D74">
        <f>'Historicals '!C39</f>
        <v>179747</v>
      </c>
      <c r="E74">
        <f>'Historicals '!D39</f>
        <v>182448</v>
      </c>
      <c r="F74">
        <f>F$13*(E74/E$13)</f>
        <v>197667.65808444901</v>
      </c>
      <c r="G74">
        <f>G$13*(E74/E$13)</f>
        <v>220023.87960865087</v>
      </c>
    </row>
    <row r="75" spans="1:7">
      <c r="A75" t="s">
        <v>41</v>
      </c>
      <c r="D75">
        <f>'Historicals '!C40</f>
        <v>238577</v>
      </c>
      <c r="E75">
        <f>'Historicals '!D40</f>
        <v>240375</v>
      </c>
      <c r="F75">
        <f>F$13*(E75/E$13)</f>
        <v>260426.87950566423</v>
      </c>
      <c r="G75">
        <f>G$13*(E75/E$13)</f>
        <v>289881.1719554583</v>
      </c>
    </row>
    <row r="76" spans="1:7">
      <c r="A76" t="s">
        <v>42</v>
      </c>
      <c r="D76">
        <f>'Historicals '!C41</f>
        <v>277836</v>
      </c>
      <c r="E76">
        <f>'Historicals '!D41</f>
        <v>302380</v>
      </c>
      <c r="F76">
        <f>E76</f>
        <v>302380</v>
      </c>
      <c r="G76">
        <f>F76</f>
        <v>302380</v>
      </c>
    </row>
    <row r="77" spans="1:7">
      <c r="A77" t="s">
        <v>43</v>
      </c>
      <c r="D77">
        <f>SUM(D72:D76)</f>
        <v>1168768</v>
      </c>
      <c r="E77">
        <f>SUM(E72:E76)</f>
        <v>1188142</v>
      </c>
      <c r="F77">
        <f>SUM(F72:F76)</f>
        <v>1262031.5180226569</v>
      </c>
      <c r="G77">
        <f>SUM(G72:G76)</f>
        <v>1370568.1503218333</v>
      </c>
    </row>
    <row r="78" spans="1:7">
      <c r="A78" t="s">
        <v>44</v>
      </c>
      <c r="D78">
        <f>'Historicals '!C43</f>
        <v>4262782</v>
      </c>
      <c r="E78">
        <f>'Historicals '!D43</f>
        <v>4773434</v>
      </c>
      <c r="F78">
        <f t="shared" ref="F78:G80" si="7">E78</f>
        <v>4773434</v>
      </c>
      <c r="G78">
        <f t="shared" si="7"/>
        <v>4773434</v>
      </c>
    </row>
    <row r="79" spans="1:7">
      <c r="A79" t="s">
        <v>45</v>
      </c>
      <c r="D79">
        <f>'Historicals '!C44</f>
        <v>46208</v>
      </c>
      <c r="E79">
        <f>'Historicals '!D44</f>
        <v>125674</v>
      </c>
      <c r="F79">
        <f t="shared" si="7"/>
        <v>125674</v>
      </c>
      <c r="G79">
        <f t="shared" si="7"/>
        <v>125674</v>
      </c>
    </row>
    <row r="80" spans="1:7">
      <c r="A80" t="s">
        <v>46</v>
      </c>
      <c r="D80">
        <f>'Historicals '!C45</f>
        <v>71070</v>
      </c>
      <c r="E80">
        <f>'Historicals '!D45</f>
        <v>76674</v>
      </c>
      <c r="F80">
        <f t="shared" si="7"/>
        <v>76674</v>
      </c>
      <c r="G80">
        <f t="shared" si="7"/>
        <v>76674</v>
      </c>
    </row>
    <row r="81" spans="1:7">
      <c r="A81" t="s">
        <v>47</v>
      </c>
      <c r="D81">
        <f>D77+D78+D79+D80</f>
        <v>5548828</v>
      </c>
      <c r="E81">
        <f>E77+E78+E79+E80</f>
        <v>6163924</v>
      </c>
      <c r="F81">
        <f>F77+F78+F79+F80</f>
        <v>6237813.5180226564</v>
      </c>
      <c r="G81">
        <f>G77+G78+G79+G80</f>
        <v>6346350.1503218338</v>
      </c>
    </row>
    <row r="83" spans="1:7">
      <c r="A83" t="s">
        <v>48</v>
      </c>
      <c r="D83">
        <f>'Historicals '!C47</f>
        <v>13586</v>
      </c>
      <c r="E83">
        <f>'Historicals '!D47</f>
        <v>13044</v>
      </c>
      <c r="F83">
        <f>E83</f>
        <v>13044</v>
      </c>
      <c r="G83">
        <f>F83</f>
        <v>13044</v>
      </c>
    </row>
    <row r="84" spans="1:7">
      <c r="A84" t="s">
        <v>49</v>
      </c>
      <c r="D84">
        <f>'Historicals '!C48</f>
        <v>2078010</v>
      </c>
      <c r="E84">
        <f>'Historicals '!D48</f>
        <v>2204944</v>
      </c>
      <c r="F84">
        <f>E84+F33</f>
        <v>2324487</v>
      </c>
      <c r="G84">
        <f>F84+G33</f>
        <v>2444030</v>
      </c>
    </row>
    <row r="85" spans="1:7">
      <c r="A85" t="s">
        <v>170</v>
      </c>
      <c r="D85">
        <f>'Historicals '!C49</f>
        <v>-10282</v>
      </c>
      <c r="E85">
        <f>'Historicals '!D49</f>
        <v>-7289</v>
      </c>
      <c r="F85">
        <f>E85</f>
        <v>-7289</v>
      </c>
      <c r="G85">
        <f>F85</f>
        <v>-7289</v>
      </c>
    </row>
    <row r="86" spans="1:7">
      <c r="A86" t="s">
        <v>51</v>
      </c>
      <c r="D86">
        <f>'Historicals '!C50</f>
        <v>1574232</v>
      </c>
      <c r="E86">
        <f>'Historicals '!D50</f>
        <v>619908</v>
      </c>
      <c r="F86" s="12">
        <f>E86+F31+F49</f>
        <v>893006.08859037189</v>
      </c>
      <c r="G86" s="12">
        <f>F86+G31+G49</f>
        <v>1345818.4803197095</v>
      </c>
    </row>
    <row r="87" spans="1:7">
      <c r="A87" t="s">
        <v>52</v>
      </c>
      <c r="D87">
        <f>SUM(D83:D86)</f>
        <v>3655546</v>
      </c>
      <c r="E87">
        <f>SUM(E83:E86)</f>
        <v>2830607</v>
      </c>
      <c r="F87">
        <f>SUM(F83:F86)</f>
        <v>3223248.0885903719</v>
      </c>
      <c r="G87">
        <f>SUM(G83:G86)</f>
        <v>3795603.4803197095</v>
      </c>
    </row>
    <row r="88" spans="1:7">
      <c r="A88" t="s">
        <v>53</v>
      </c>
      <c r="D88">
        <f>D81+D87</f>
        <v>9204374</v>
      </c>
      <c r="E88">
        <f>E81+E87</f>
        <v>8994531</v>
      </c>
      <c r="F88">
        <f>F81+F87</f>
        <v>9461061.6066130288</v>
      </c>
      <c r="G88">
        <f>G81+G87</f>
        <v>10141953.630641542</v>
      </c>
    </row>
    <row r="90" spans="1:7">
      <c r="A90" t="s">
        <v>171</v>
      </c>
      <c r="D90">
        <f>D70-D88</f>
        <v>0</v>
      </c>
      <c r="E90">
        <f>E70-E88</f>
        <v>0</v>
      </c>
      <c r="F90" s="12">
        <f>F70-F88</f>
        <v>0</v>
      </c>
      <c r="G90" s="12">
        <f>G70-G88</f>
        <v>0</v>
      </c>
    </row>
  </sheetData>
  <pageMargins left="0.7" right="0.7" top="0.75" bottom="0.75" header="0.3" footer="0.3"/>
  <ignoredErrors>
    <ignoredError sqref="F77:G77 F84:G8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BB311-8EAC-4C48-9781-3DC156C75770}">
  <dimension ref="A1:E56"/>
  <sheetViews>
    <sheetView topLeftCell="A29" zoomScale="74" workbookViewId="0">
      <selection activeCell="E56" sqref="E56"/>
    </sheetView>
  </sheetViews>
  <sheetFormatPr defaultRowHeight="14.25"/>
  <cols>
    <col min="3" max="3" width="17.6640625" bestFit="1" customWidth="1"/>
  </cols>
  <sheetData>
    <row r="1" spans="1:5">
      <c r="A1" t="s">
        <v>193</v>
      </c>
      <c r="B1" t="s">
        <v>194</v>
      </c>
      <c r="C1" t="s">
        <v>195</v>
      </c>
      <c r="D1" t="s">
        <v>196</v>
      </c>
      <c r="E1" t="s">
        <v>197</v>
      </c>
    </row>
    <row r="2" spans="1:5">
      <c r="A2">
        <v>2023</v>
      </c>
      <c r="B2" t="s">
        <v>198</v>
      </c>
      <c r="C2" t="s">
        <v>21</v>
      </c>
      <c r="D2" t="s">
        <v>200</v>
      </c>
      <c r="E2">
        <f>Model!C28</f>
        <v>1228737</v>
      </c>
    </row>
    <row r="3" spans="1:5">
      <c r="A3">
        <v>2024</v>
      </c>
      <c r="B3" t="s">
        <v>198</v>
      </c>
      <c r="C3" t="s">
        <v>21</v>
      </c>
      <c r="D3" t="s">
        <v>200</v>
      </c>
      <c r="E3">
        <f>Model!D28</f>
        <v>1534110</v>
      </c>
    </row>
    <row r="4" spans="1:5">
      <c r="A4">
        <v>2025</v>
      </c>
      <c r="B4" t="s">
        <v>198</v>
      </c>
      <c r="C4" t="s">
        <v>21</v>
      </c>
      <c r="D4" t="s">
        <v>200</v>
      </c>
      <c r="E4">
        <f>Model!E28</f>
        <v>1535761</v>
      </c>
    </row>
    <row r="5" spans="1:5">
      <c r="A5">
        <v>2026</v>
      </c>
      <c r="B5" t="s">
        <v>201</v>
      </c>
      <c r="C5" t="s">
        <v>21</v>
      </c>
      <c r="D5" t="s">
        <v>200</v>
      </c>
      <c r="E5">
        <f>Model!F28</f>
        <v>1573098.0885903719</v>
      </c>
    </row>
    <row r="6" spans="1:5">
      <c r="A6">
        <v>2027</v>
      </c>
      <c r="B6" t="s">
        <v>201</v>
      </c>
      <c r="C6" t="s">
        <v>21</v>
      </c>
      <c r="D6" t="s">
        <v>200</v>
      </c>
      <c r="E6">
        <f>Model!G28</f>
        <v>1752812.3917293374</v>
      </c>
    </row>
    <row r="7" spans="1:5">
      <c r="A7">
        <v>2023</v>
      </c>
      <c r="B7" t="s">
        <v>198</v>
      </c>
      <c r="C7" t="s">
        <v>202</v>
      </c>
      <c r="D7" t="s">
        <v>200</v>
      </c>
      <c r="E7">
        <f>Model!C24</f>
        <v>1557813</v>
      </c>
    </row>
    <row r="8" spans="1:5">
      <c r="A8">
        <v>2024</v>
      </c>
      <c r="B8" t="s">
        <v>198</v>
      </c>
      <c r="C8" t="s">
        <v>202</v>
      </c>
      <c r="D8" t="s">
        <v>200</v>
      </c>
      <c r="E8">
        <f>Model!D24</f>
        <v>1916333</v>
      </c>
    </row>
    <row r="9" spans="1:5">
      <c r="A9">
        <v>2025</v>
      </c>
      <c r="B9" t="s">
        <v>198</v>
      </c>
      <c r="C9" t="s">
        <v>202</v>
      </c>
      <c r="D9" t="s">
        <v>200</v>
      </c>
      <c r="E9">
        <f>Model!E24</f>
        <v>1935798</v>
      </c>
    </row>
    <row r="10" spans="1:5">
      <c r="A10">
        <v>2026</v>
      </c>
      <c r="B10" t="s">
        <v>201</v>
      </c>
      <c r="C10" t="s">
        <v>202</v>
      </c>
      <c r="D10" t="s">
        <v>200</v>
      </c>
      <c r="E10">
        <f>Model!F24</f>
        <v>2053845.0531204958</v>
      </c>
    </row>
    <row r="11" spans="1:5">
      <c r="A11">
        <v>2027</v>
      </c>
      <c r="B11" t="s">
        <v>201</v>
      </c>
      <c r="C11" t="s">
        <v>202</v>
      </c>
      <c r="D11" t="s">
        <v>200</v>
      </c>
      <c r="E11">
        <f>Model!G24</f>
        <v>2292784.6574530434</v>
      </c>
    </row>
    <row r="12" spans="1:5">
      <c r="A12">
        <v>2023</v>
      </c>
      <c r="B12" t="s">
        <v>198</v>
      </c>
      <c r="C12" t="s">
        <v>162</v>
      </c>
      <c r="D12" t="s">
        <v>203</v>
      </c>
      <c r="E12">
        <f>Model!C44</f>
        <v>1783477</v>
      </c>
    </row>
    <row r="13" spans="1:5">
      <c r="A13">
        <v>2024</v>
      </c>
      <c r="B13" t="s">
        <v>198</v>
      </c>
      <c r="C13" t="s">
        <v>162</v>
      </c>
      <c r="D13" t="s">
        <v>203</v>
      </c>
      <c r="E13">
        <f>Model!D44</f>
        <v>2105076</v>
      </c>
    </row>
    <row r="14" spans="1:5">
      <c r="A14">
        <v>2025</v>
      </c>
      <c r="B14" t="s">
        <v>198</v>
      </c>
      <c r="C14" t="s">
        <v>162</v>
      </c>
      <c r="D14" t="s">
        <v>203</v>
      </c>
      <c r="E14">
        <f>Model!E44</f>
        <v>2113926</v>
      </c>
    </row>
    <row r="15" spans="1:5">
      <c r="A15">
        <v>2026</v>
      </c>
      <c r="B15" t="s">
        <v>201</v>
      </c>
      <c r="C15" t="s">
        <v>162</v>
      </c>
      <c r="D15" t="s">
        <v>203</v>
      </c>
      <c r="E15" s="12">
        <f>Model!F44</f>
        <v>2126913.3291259021</v>
      </c>
    </row>
    <row r="16" spans="1:5">
      <c r="A16">
        <v>2027</v>
      </c>
      <c r="B16" t="s">
        <v>201</v>
      </c>
      <c r="C16" t="s">
        <v>162</v>
      </c>
      <c r="D16" t="s">
        <v>203</v>
      </c>
      <c r="E16">
        <f>Model!G44</f>
        <v>2372345.4940897264</v>
      </c>
    </row>
    <row r="17" spans="1:5">
      <c r="A17">
        <v>2023</v>
      </c>
      <c r="B17" t="s">
        <v>198</v>
      </c>
      <c r="C17" t="s">
        <v>204</v>
      </c>
      <c r="D17" t="s">
        <v>203</v>
      </c>
      <c r="E17">
        <f>-Model!C46</f>
        <v>560731</v>
      </c>
    </row>
    <row r="18" spans="1:5">
      <c r="A18">
        <v>2024</v>
      </c>
      <c r="B18" t="s">
        <v>198</v>
      </c>
      <c r="C18" t="s">
        <v>204</v>
      </c>
      <c r="D18" t="s">
        <v>203</v>
      </c>
      <c r="E18">
        <f>-Model!D46</f>
        <v>593603</v>
      </c>
    </row>
    <row r="19" spans="1:5">
      <c r="A19">
        <v>2025</v>
      </c>
      <c r="B19" t="s">
        <v>198</v>
      </c>
      <c r="C19" t="s">
        <v>204</v>
      </c>
      <c r="D19" t="s">
        <v>203</v>
      </c>
      <c r="E19">
        <f>-Model!E46</f>
        <v>666336</v>
      </c>
    </row>
    <row r="20" spans="1:5">
      <c r="A20">
        <v>2026</v>
      </c>
      <c r="B20" t="s">
        <v>201</v>
      </c>
      <c r="C20" t="s">
        <v>204</v>
      </c>
      <c r="D20" t="s">
        <v>203</v>
      </c>
      <c r="E20">
        <f>-Model!F46</f>
        <v>807500</v>
      </c>
    </row>
    <row r="21" spans="1:5">
      <c r="A21">
        <v>2027</v>
      </c>
      <c r="B21" t="s">
        <v>201</v>
      </c>
      <c r="C21" t="s">
        <v>204</v>
      </c>
      <c r="D21" t="s">
        <v>203</v>
      </c>
      <c r="E21">
        <f>-Model!G46</f>
        <v>830000</v>
      </c>
    </row>
    <row r="22" spans="1:5">
      <c r="A22">
        <v>2023</v>
      </c>
      <c r="B22" t="s">
        <v>198</v>
      </c>
      <c r="C22" t="s">
        <v>205</v>
      </c>
      <c r="D22" t="s">
        <v>203</v>
      </c>
      <c r="E22">
        <f>Model!C44+Model!C46</f>
        <v>1222746</v>
      </c>
    </row>
    <row r="23" spans="1:5">
      <c r="A23">
        <v>2024</v>
      </c>
      <c r="B23" t="s">
        <v>198</v>
      </c>
      <c r="C23" t="s">
        <v>205</v>
      </c>
      <c r="D23" t="s">
        <v>203</v>
      </c>
      <c r="E23">
        <f>Model!D44+Model!D46</f>
        <v>1511473</v>
      </c>
    </row>
    <row r="24" spans="1:5">
      <c r="A24">
        <v>2025</v>
      </c>
      <c r="B24" t="s">
        <v>198</v>
      </c>
      <c r="C24" t="s">
        <v>205</v>
      </c>
      <c r="D24" t="s">
        <v>203</v>
      </c>
      <c r="E24">
        <f>Model!E44+Model!E46</f>
        <v>1447590</v>
      </c>
    </row>
    <row r="25" spans="1:5">
      <c r="A25">
        <v>2026</v>
      </c>
      <c r="B25" t="s">
        <v>201</v>
      </c>
      <c r="C25" t="s">
        <v>205</v>
      </c>
      <c r="D25" t="s">
        <v>203</v>
      </c>
      <c r="E25" s="12">
        <f>Model!F44+Model!F46</f>
        <v>1319413.3291259021</v>
      </c>
    </row>
    <row r="26" spans="1:5">
      <c r="A26">
        <v>2027</v>
      </c>
      <c r="B26" t="s">
        <v>201</v>
      </c>
      <c r="C26" t="s">
        <v>205</v>
      </c>
      <c r="D26" t="s">
        <v>203</v>
      </c>
      <c r="E26">
        <f>Model!G44+Model!G46</f>
        <v>1542345.4940897264</v>
      </c>
    </row>
    <row r="27" spans="1:5">
      <c r="A27">
        <v>2023</v>
      </c>
      <c r="B27" t="s">
        <v>198</v>
      </c>
      <c r="C27" t="s">
        <v>168</v>
      </c>
      <c r="D27" t="s">
        <v>206</v>
      </c>
    </row>
    <row r="28" spans="1:5">
      <c r="A28">
        <v>2024</v>
      </c>
      <c r="B28" t="s">
        <v>198</v>
      </c>
      <c r="C28" t="s">
        <v>168</v>
      </c>
      <c r="D28" t="s">
        <v>206</v>
      </c>
      <c r="E28">
        <f>Model!D57</f>
        <v>748537</v>
      </c>
    </row>
    <row r="29" spans="1:5">
      <c r="A29">
        <v>2025</v>
      </c>
      <c r="B29" t="s">
        <v>198</v>
      </c>
      <c r="C29" t="s">
        <v>168</v>
      </c>
      <c r="D29" t="s">
        <v>206</v>
      </c>
      <c r="E29">
        <f>Model!E57</f>
        <v>350545</v>
      </c>
    </row>
    <row r="30" spans="1:5">
      <c r="A30">
        <v>2026</v>
      </c>
      <c r="B30" t="s">
        <v>201</v>
      </c>
      <c r="C30" t="s">
        <v>168</v>
      </c>
      <c r="D30" t="s">
        <v>206</v>
      </c>
      <c r="E30" s="12">
        <f>Model!F57</f>
        <v>369958.32912590215</v>
      </c>
    </row>
    <row r="31" spans="1:5">
      <c r="A31">
        <v>2027</v>
      </c>
      <c r="B31" t="s">
        <v>201</v>
      </c>
      <c r="C31" t="s">
        <v>168</v>
      </c>
      <c r="D31" t="s">
        <v>206</v>
      </c>
      <c r="E31" s="12">
        <f>Model!G57</f>
        <v>612303.82321562851</v>
      </c>
    </row>
    <row r="32" spans="1:5">
      <c r="A32">
        <v>2023</v>
      </c>
      <c r="B32" t="s">
        <v>198</v>
      </c>
      <c r="C32" t="s">
        <v>37</v>
      </c>
      <c r="D32" t="s">
        <v>206</v>
      </c>
    </row>
    <row r="33" spans="1:5">
      <c r="A33">
        <v>2024</v>
      </c>
      <c r="B33" t="s">
        <v>198</v>
      </c>
      <c r="C33" t="s">
        <v>37</v>
      </c>
      <c r="D33" t="s">
        <v>206</v>
      </c>
      <c r="E33">
        <f>Model!D70</f>
        <v>9204374</v>
      </c>
    </row>
    <row r="34" spans="1:5">
      <c r="A34">
        <v>2025</v>
      </c>
      <c r="B34" t="s">
        <v>198</v>
      </c>
      <c r="C34" t="s">
        <v>37</v>
      </c>
      <c r="D34" t="s">
        <v>206</v>
      </c>
      <c r="E34">
        <f>Model!E70</f>
        <v>8994531</v>
      </c>
    </row>
    <row r="35" spans="1:5">
      <c r="A35">
        <v>2026</v>
      </c>
      <c r="B35" t="s">
        <v>201</v>
      </c>
      <c r="C35" t="s">
        <v>37</v>
      </c>
      <c r="D35" t="s">
        <v>206</v>
      </c>
      <c r="E35" s="12">
        <f>Model!F70</f>
        <v>9461061.6066130288</v>
      </c>
    </row>
    <row r="36" spans="1:5">
      <c r="A36">
        <v>2027</v>
      </c>
      <c r="B36" t="s">
        <v>201</v>
      </c>
      <c r="C36" t="s">
        <v>37</v>
      </c>
      <c r="D36" t="s">
        <v>206</v>
      </c>
      <c r="E36" s="12">
        <f>Model!G70</f>
        <v>10141953.630641542</v>
      </c>
    </row>
    <row r="37" spans="1:5">
      <c r="A37">
        <v>2023</v>
      </c>
      <c r="B37" t="s">
        <v>198</v>
      </c>
      <c r="C37" t="s">
        <v>207</v>
      </c>
      <c r="D37" t="s">
        <v>208</v>
      </c>
      <c r="E37">
        <f>Model!C9</f>
        <v>3437</v>
      </c>
    </row>
    <row r="38" spans="1:5">
      <c r="A38">
        <v>2024</v>
      </c>
      <c r="B38" t="s">
        <v>198</v>
      </c>
      <c r="C38" t="s">
        <v>207</v>
      </c>
      <c r="D38" t="s">
        <v>208</v>
      </c>
      <c r="E38">
        <f>Model!D9</f>
        <v>3726</v>
      </c>
    </row>
    <row r="39" spans="1:5">
      <c r="A39">
        <v>2025</v>
      </c>
      <c r="B39" t="s">
        <v>198</v>
      </c>
      <c r="C39" t="s">
        <v>207</v>
      </c>
      <c r="D39" t="s">
        <v>208</v>
      </c>
      <c r="E39">
        <f>Model!E9</f>
        <v>4042</v>
      </c>
    </row>
    <row r="40" spans="1:5">
      <c r="A40">
        <v>2026</v>
      </c>
      <c r="B40" t="s">
        <v>201</v>
      </c>
      <c r="C40" t="s">
        <v>207</v>
      </c>
      <c r="D40" t="s">
        <v>208</v>
      </c>
      <c r="E40">
        <f>Model!F9</f>
        <v>4374</v>
      </c>
    </row>
    <row r="41" spans="1:5">
      <c r="A41">
        <v>2027</v>
      </c>
      <c r="B41" t="s">
        <v>201</v>
      </c>
      <c r="C41" t="s">
        <v>207</v>
      </c>
      <c r="D41" t="s">
        <v>208</v>
      </c>
      <c r="E41">
        <f>Model!G9</f>
        <v>4721</v>
      </c>
    </row>
    <row r="42" spans="1:5">
      <c r="A42">
        <v>2023</v>
      </c>
      <c r="B42" t="s">
        <v>198</v>
      </c>
      <c r="C42" t="s">
        <v>209</v>
      </c>
      <c r="D42" t="s">
        <v>208</v>
      </c>
      <c r="E42">
        <f>Model!C24/Model!C13</f>
        <v>0.15780676561737558</v>
      </c>
    </row>
    <row r="43" spans="1:5">
      <c r="A43">
        <v>2024</v>
      </c>
      <c r="B43" t="s">
        <v>198</v>
      </c>
      <c r="C43" t="s">
        <v>209</v>
      </c>
      <c r="D43" t="s">
        <v>208</v>
      </c>
      <c r="E43">
        <f>Model!D24/Model!D13</f>
        <v>0.16937934406607547</v>
      </c>
    </row>
    <row r="44" spans="1:5">
      <c r="A44">
        <v>2025</v>
      </c>
      <c r="B44" t="s">
        <v>198</v>
      </c>
      <c r="C44" t="s">
        <v>209</v>
      </c>
      <c r="D44" t="s">
        <v>208</v>
      </c>
      <c r="E44">
        <f>Model!E24/Model!E13</f>
        <v>0.16232288838105519</v>
      </c>
    </row>
    <row r="45" spans="1:5">
      <c r="A45">
        <v>2026</v>
      </c>
      <c r="B45" t="s">
        <v>201</v>
      </c>
      <c r="C45" t="s">
        <v>209</v>
      </c>
      <c r="D45" t="s">
        <v>208</v>
      </c>
      <c r="E45">
        <f>Model!F24/Model!F13</f>
        <v>0.15896111175671546</v>
      </c>
    </row>
    <row r="46" spans="1:5">
      <c r="A46">
        <v>2027</v>
      </c>
      <c r="B46" t="s">
        <v>201</v>
      </c>
      <c r="C46" t="s">
        <v>209</v>
      </c>
      <c r="D46" t="s">
        <v>208</v>
      </c>
      <c r="E46">
        <f>Model!G24/Model!G13</f>
        <v>0.15942347848375751</v>
      </c>
    </row>
    <row r="47" spans="1:5">
      <c r="A47">
        <v>2023</v>
      </c>
      <c r="B47" t="s">
        <v>198</v>
      </c>
      <c r="C47" t="s">
        <v>210</v>
      </c>
      <c r="D47" t="s">
        <v>208</v>
      </c>
      <c r="E47">
        <f>Model!C28/Model!C13</f>
        <v>0.12447130160320732</v>
      </c>
    </row>
    <row r="48" spans="1:5">
      <c r="A48">
        <v>2024</v>
      </c>
      <c r="B48" t="s">
        <v>198</v>
      </c>
      <c r="C48" t="s">
        <v>210</v>
      </c>
      <c r="D48" t="s">
        <v>208</v>
      </c>
      <c r="E48">
        <f>Model!D28/Model!D13</f>
        <v>0.13559571615434635</v>
      </c>
    </row>
    <row r="49" spans="1:5">
      <c r="A49">
        <v>2025</v>
      </c>
      <c r="B49" t="s">
        <v>198</v>
      </c>
      <c r="C49" t="s">
        <v>210</v>
      </c>
      <c r="D49" t="s">
        <v>208</v>
      </c>
      <c r="E49">
        <f>Model!E28/Model!E13</f>
        <v>0.12877849929743582</v>
      </c>
    </row>
    <row r="50" spans="1:5">
      <c r="A50">
        <v>2026</v>
      </c>
      <c r="B50" t="s">
        <v>201</v>
      </c>
      <c r="C50" t="s">
        <v>210</v>
      </c>
      <c r="D50" t="s">
        <v>208</v>
      </c>
      <c r="E50">
        <f>Model!F28/Model!F13</f>
        <v>0.12175281708070453</v>
      </c>
    </row>
    <row r="51" spans="1:5">
      <c r="A51">
        <v>2027</v>
      </c>
      <c r="B51" t="s">
        <v>201</v>
      </c>
      <c r="C51" t="s">
        <v>210</v>
      </c>
      <c r="D51" t="s">
        <v>208</v>
      </c>
      <c r="E51">
        <f>Model!G28/Model!G13</f>
        <v>0.12187775581564775</v>
      </c>
    </row>
    <row r="52" spans="1:5">
      <c r="A52">
        <v>2023</v>
      </c>
      <c r="B52" t="s">
        <v>198</v>
      </c>
      <c r="C52" t="s">
        <v>199</v>
      </c>
      <c r="D52" t="s">
        <v>200</v>
      </c>
      <c r="E52">
        <f>Model!C13</f>
        <v>9871649</v>
      </c>
    </row>
    <row r="53" spans="1:5">
      <c r="A53">
        <v>2024</v>
      </c>
      <c r="B53" t="s">
        <v>198</v>
      </c>
      <c r="C53" t="s">
        <v>199</v>
      </c>
      <c r="D53" t="s">
        <v>200</v>
      </c>
      <c r="E53">
        <f>Model!D13</f>
        <v>11313853</v>
      </c>
    </row>
    <row r="54" spans="1:5">
      <c r="A54">
        <v>2025</v>
      </c>
      <c r="B54" t="s">
        <v>198</v>
      </c>
      <c r="C54" t="s">
        <v>199</v>
      </c>
      <c r="D54" t="s">
        <v>200</v>
      </c>
      <c r="E54">
        <f>Model!E13</f>
        <v>11925601</v>
      </c>
    </row>
    <row r="55" spans="1:5">
      <c r="A55">
        <v>2026</v>
      </c>
      <c r="B55" t="s">
        <v>201</v>
      </c>
      <c r="C55" t="s">
        <v>199</v>
      </c>
      <c r="D55" t="s">
        <v>200</v>
      </c>
      <c r="E55">
        <f>Model!F13</f>
        <v>12920424.564366631</v>
      </c>
    </row>
    <row r="56" spans="1:5">
      <c r="A56">
        <v>2027</v>
      </c>
      <c r="B56" t="s">
        <v>201</v>
      </c>
      <c r="C56" t="s">
        <v>199</v>
      </c>
      <c r="D56" t="s">
        <v>200</v>
      </c>
      <c r="E56">
        <f>Model!G13</f>
        <v>14381725.196685119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BE85-6656-4242-9A1B-8445C2B79621}">
  <dimension ref="A1:G32"/>
  <sheetViews>
    <sheetView tabSelected="1" topLeftCell="A37" zoomScale="61" workbookViewId="0">
      <selection activeCell="L12" sqref="L12"/>
    </sheetView>
  </sheetViews>
  <sheetFormatPr defaultRowHeight="14.25"/>
  <cols>
    <col min="1" max="1" width="65.06640625" bestFit="1" customWidth="1"/>
    <col min="2" max="2" width="12.86328125" bestFit="1" customWidth="1"/>
    <col min="3" max="3" width="12.19921875" bestFit="1" customWidth="1"/>
    <col min="4" max="4" width="10" bestFit="1" customWidth="1"/>
    <col min="5" max="5" width="9.796875" bestFit="1" customWidth="1"/>
    <col min="6" max="6" width="10.86328125" bestFit="1" customWidth="1"/>
    <col min="7" max="7" width="10.19921875" bestFit="1" customWidth="1"/>
  </cols>
  <sheetData>
    <row r="1" spans="1:5">
      <c r="A1" t="s">
        <v>177</v>
      </c>
    </row>
    <row r="2" spans="1:5">
      <c r="A2" t="s">
        <v>178</v>
      </c>
    </row>
    <row r="3" spans="1:5">
      <c r="B3" t="s">
        <v>172</v>
      </c>
      <c r="C3" t="s">
        <v>173</v>
      </c>
      <c r="D3" t="s">
        <v>174</v>
      </c>
      <c r="E3" t="s">
        <v>175</v>
      </c>
    </row>
    <row r="4" spans="1:5">
      <c r="A4" t="s">
        <v>179</v>
      </c>
    </row>
    <row r="5" spans="1:5">
      <c r="A5" t="s">
        <v>117</v>
      </c>
      <c r="B5">
        <v>330</v>
      </c>
      <c r="C5">
        <f>'Historicals '!D63</f>
        <v>334</v>
      </c>
      <c r="D5">
        <f>C5-B5</f>
        <v>4</v>
      </c>
      <c r="E5" s="14">
        <f>D5/B5</f>
        <v>1.2121212121212121E-2</v>
      </c>
    </row>
    <row r="6" spans="1:5">
      <c r="A6" t="s">
        <v>118</v>
      </c>
      <c r="B6">
        <v>18</v>
      </c>
      <c r="C6">
        <f>-'Historicals '!D64</f>
        <v>18</v>
      </c>
      <c r="D6">
        <f>C6-B6</f>
        <v>0</v>
      </c>
      <c r="E6" s="14"/>
    </row>
    <row r="7" spans="1:5">
      <c r="A7" t="s">
        <v>180</v>
      </c>
      <c r="B7">
        <v>0.04</v>
      </c>
      <c r="C7">
        <f>'Historicals '!D67</f>
        <v>-1.7000000000000001E-2</v>
      </c>
      <c r="D7">
        <f>C7-B7</f>
        <v>-5.7000000000000002E-2</v>
      </c>
      <c r="E7" s="14"/>
    </row>
    <row r="8" spans="1:5">
      <c r="A8" t="s">
        <v>144</v>
      </c>
      <c r="B8">
        <f>('Historicals '!D62+('Historicals '!D62+B5-B6))/2</f>
        <v>3882</v>
      </c>
      <c r="C8">
        <f>Model!E10</f>
        <v>3884</v>
      </c>
      <c r="D8">
        <f>C8-B8</f>
        <v>2</v>
      </c>
      <c r="E8" s="14">
        <f>D8/B8</f>
        <v>5.1519835136527566E-4</v>
      </c>
    </row>
    <row r="9" spans="1:5">
      <c r="A9" t="s">
        <v>145</v>
      </c>
      <c r="B9">
        <f>Model!D11*(1+B7)</f>
        <v>3285.3293647912888</v>
      </c>
      <c r="C9" s="16">
        <f>Model!E11</f>
        <v>3070.4430998970133</v>
      </c>
      <c r="D9" s="16">
        <f>C9-B9</f>
        <v>-214.88626489427543</v>
      </c>
      <c r="E9" s="14">
        <f>D9/B9</f>
        <v>-6.5407830093749758E-2</v>
      </c>
    </row>
    <row r="10" spans="1:5">
      <c r="A10" t="s">
        <v>224</v>
      </c>
      <c r="B10" s="20">
        <v>0.16500000000000001</v>
      </c>
    </row>
    <row r="11" spans="1:5">
      <c r="A11" t="s">
        <v>181</v>
      </c>
    </row>
    <row r="12" spans="1:5">
      <c r="A12" t="s">
        <v>7</v>
      </c>
      <c r="B12" s="15">
        <f>B8*B9</f>
        <v>12753648.594119783</v>
      </c>
      <c r="C12" s="15">
        <f>'Historicals '!D5</f>
        <v>11925601</v>
      </c>
      <c r="D12" s="15">
        <f t="shared" ref="D12:D21" si="0">C12-B12</f>
        <v>-828047.59411978349</v>
      </c>
      <c r="E12" s="14">
        <f>D12/B12</f>
        <v>-6.4926329748615189E-2</v>
      </c>
    </row>
    <row r="13" spans="1:5">
      <c r="A13" t="s">
        <v>16</v>
      </c>
      <c r="B13" s="15">
        <f>B12*(1-B10)</f>
        <v>10649296.576090019</v>
      </c>
      <c r="C13" s="15">
        <f>'Historicals '!D14</f>
        <v>9989803</v>
      </c>
      <c r="D13" s="15">
        <f t="shared" si="0"/>
        <v>-659493.5760900192</v>
      </c>
      <c r="E13" s="14">
        <f>D13/B13</f>
        <v>-6.1928369763945286E-2</v>
      </c>
    </row>
    <row r="14" spans="1:5">
      <c r="A14" t="s">
        <v>17</v>
      </c>
      <c r="B14" s="15">
        <f>B12-B13</f>
        <v>2104352.0180297643</v>
      </c>
      <c r="C14" s="15">
        <f>'Historicals '!D15</f>
        <v>1935798</v>
      </c>
      <c r="D14" s="15">
        <f t="shared" si="0"/>
        <v>-168554.01802976429</v>
      </c>
      <c r="E14" s="14">
        <f>D14/B14</f>
        <v>-8.0097824216490116E-2</v>
      </c>
    </row>
    <row r="15" spans="1:5">
      <c r="A15" t="s">
        <v>182</v>
      </c>
      <c r="B15" s="14">
        <f>B14/B12</f>
        <v>0.16500000000000001</v>
      </c>
      <c r="C15" s="14">
        <f>C14/C12</f>
        <v>0.16232288838105519</v>
      </c>
      <c r="D15" s="14">
        <f t="shared" si="0"/>
        <v>-2.6771116189448219E-3</v>
      </c>
      <c r="E15" s="14"/>
    </row>
    <row r="16" spans="1:5">
      <c r="A16" t="s">
        <v>183</v>
      </c>
      <c r="B16">
        <v>65000</v>
      </c>
      <c r="C16">
        <f>'Historicals '!D16</f>
        <v>73721</v>
      </c>
      <c r="D16">
        <f t="shared" si="0"/>
        <v>8721</v>
      </c>
      <c r="E16" s="14">
        <f>D16/B16</f>
        <v>0.13416923076923076</v>
      </c>
    </row>
    <row r="17" spans="1:7">
      <c r="A17" t="s">
        <v>19</v>
      </c>
      <c r="B17" s="16">
        <f>B14+B16</f>
        <v>2169352.0180297643</v>
      </c>
      <c r="C17" s="16">
        <f>'Historicals '!D17</f>
        <v>2009519</v>
      </c>
      <c r="D17" s="16">
        <f t="shared" si="0"/>
        <v>-159833.01802976429</v>
      </c>
      <c r="E17" s="14">
        <f>D17/B17</f>
        <v>-7.3677769537341786E-2</v>
      </c>
    </row>
    <row r="18" spans="1:7">
      <c r="A18" t="s">
        <v>184</v>
      </c>
      <c r="B18" s="14">
        <v>0.26</v>
      </c>
      <c r="C18" s="14">
        <f>C19/C17</f>
        <v>0.23575691496323251</v>
      </c>
      <c r="D18" s="14">
        <f t="shared" si="0"/>
        <v>-2.4243085036767503E-2</v>
      </c>
      <c r="E18" s="14"/>
      <c r="G18" t="s">
        <v>225</v>
      </c>
    </row>
    <row r="19" spans="1:7">
      <c r="A19" t="s">
        <v>20</v>
      </c>
      <c r="B19" s="16">
        <f>B17*B18</f>
        <v>564031.52468773874</v>
      </c>
      <c r="C19" s="16">
        <f>'Historicals '!D18</f>
        <v>473758</v>
      </c>
      <c r="D19" s="16">
        <f t="shared" si="0"/>
        <v>-90273.52468773874</v>
      </c>
      <c r="E19" s="14">
        <f>D19/B19</f>
        <v>-0.16005049493947401</v>
      </c>
    </row>
    <row r="20" spans="1:7">
      <c r="A20" t="s">
        <v>21</v>
      </c>
      <c r="B20" s="16">
        <f>B17-B19</f>
        <v>1605320.4933420257</v>
      </c>
      <c r="C20" s="16">
        <f>'Historicals '!D19</f>
        <v>1535761</v>
      </c>
      <c r="D20" s="16">
        <f t="shared" si="0"/>
        <v>-69559.493342025671</v>
      </c>
      <c r="E20" s="14">
        <f>D20/B20</f>
        <v>-4.33305957474035E-2</v>
      </c>
    </row>
    <row r="21" spans="1:7">
      <c r="A21" t="s">
        <v>185</v>
      </c>
      <c r="B21" s="14">
        <f>B20/B12</f>
        <v>0.12587146975981267</v>
      </c>
      <c r="C21" s="14">
        <f>C20/C12</f>
        <v>0.12877849929743582</v>
      </c>
      <c r="D21" s="14">
        <f t="shared" si="0"/>
        <v>2.9070295376231459E-3</v>
      </c>
    </row>
    <row r="23" spans="1:7">
      <c r="A23" t="s">
        <v>186</v>
      </c>
    </row>
    <row r="24" spans="1:7">
      <c r="A24" t="s">
        <v>187</v>
      </c>
      <c r="B24">
        <f>B12</f>
        <v>12753648.594119783</v>
      </c>
    </row>
    <row r="25" spans="1:7">
      <c r="A25" t="s">
        <v>188</v>
      </c>
      <c r="B25">
        <f>(C8-B8)*B9</f>
        <v>6570.6587295825775</v>
      </c>
    </row>
    <row r="26" spans="1:7">
      <c r="A26" t="s">
        <v>189</v>
      </c>
      <c r="B26">
        <f>(C9-B9)*C8</f>
        <v>-834618.25284936582</v>
      </c>
      <c r="D26" t="s">
        <v>211</v>
      </c>
      <c r="E26">
        <f>Model!D11*(C7-B7)*C8</f>
        <v>-699358.17058885936</v>
      </c>
    </row>
    <row r="27" spans="1:7">
      <c r="A27" t="s">
        <v>190</v>
      </c>
      <c r="B27">
        <f>B24+B25+B26</f>
        <v>11925601</v>
      </c>
      <c r="D27" t="s">
        <v>212</v>
      </c>
      <c r="E27">
        <f>B26-E26</f>
        <v>-135260.08226050646</v>
      </c>
    </row>
    <row r="29" spans="1:7">
      <c r="A29" t="s">
        <v>191</v>
      </c>
      <c r="B29" s="14">
        <f>B25/(B25+B26)</f>
        <v>-7.9351220584937578E-3</v>
      </c>
    </row>
    <row r="30" spans="1:7">
      <c r="A30" t="s">
        <v>192</v>
      </c>
      <c r="B30" s="14">
        <f>B26/(B25+B26)</f>
        <v>1.0079351220584938</v>
      </c>
    </row>
    <row r="32" spans="1:7">
      <c r="A32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Goal</vt:lpstr>
      <vt:lpstr>Historicals </vt:lpstr>
      <vt:lpstr>Assumptions</vt:lpstr>
      <vt:lpstr>Model</vt:lpstr>
      <vt:lpstr>Dashboard</vt:lpstr>
      <vt:lpstr>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Patil</dc:creator>
  <cp:lastModifiedBy>Ajay Patil</cp:lastModifiedBy>
  <dcterms:created xsi:type="dcterms:W3CDTF">2026-06-22T23:28:38Z</dcterms:created>
  <dcterms:modified xsi:type="dcterms:W3CDTF">2026-10-24T17:04:11Z</dcterms:modified>
</cp:coreProperties>
</file>